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2026동래\일과\시간표\2026학년도 2학기\"/>
    </mc:Choice>
  </mc:AlternateContent>
  <xr:revisionPtr revIDLastSave="0" documentId="13_ncr:1_{A69D5BDC-2A06-4DD3-B9B2-D2AADAA5197F}" xr6:coauthVersionLast="47" xr6:coauthVersionMax="47" xr10:uidLastSave="{00000000-0000-0000-0000-000000000000}"/>
  <bookViews>
    <workbookView xWindow="-108" yWindow="-108" windowWidth="23256" windowHeight="12456" xr2:uid="{4C05BC98-1DDE-4BE6-91F5-9AC651994874}"/>
  </bookViews>
  <sheets>
    <sheet name="전체교사시간표" sheetId="1" r:id="rId1"/>
    <sheet name="개인별 교사시간표" sheetId="3" r:id="rId2"/>
    <sheet name="전체학급시간표(교사용)" sheetId="2" r:id="rId3"/>
    <sheet name="전체학급시간표(학생용)" sheetId="4" r:id="rId4"/>
    <sheet name="학급별 시간표" sheetId="5" r:id="rId5"/>
  </sheets>
  <definedNames>
    <definedName name="_xlnm.Print_Area" localSheetId="1">'개인별 교사시간표'!$A$1:$H$12</definedName>
    <definedName name="_xlnm.Print_Area" localSheetId="4">'학급별 시간표'!$A$1:$H$12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1" i="5" l="1"/>
  <c r="G10" i="5"/>
  <c r="G9" i="5"/>
  <c r="G8" i="5"/>
  <c r="G7" i="5"/>
  <c r="G6" i="5"/>
  <c r="G5" i="5"/>
  <c r="F11" i="5"/>
  <c r="F10" i="5"/>
  <c r="F9" i="5"/>
  <c r="F8" i="5"/>
  <c r="F7" i="5"/>
  <c r="F6" i="5"/>
  <c r="F5" i="5"/>
  <c r="E11" i="5"/>
  <c r="E10" i="5"/>
  <c r="E9" i="5"/>
  <c r="E8" i="5"/>
  <c r="E7" i="5"/>
  <c r="E6" i="5"/>
  <c r="E5" i="5"/>
  <c r="D11" i="5"/>
  <c r="D10" i="5"/>
  <c r="D9" i="5"/>
  <c r="D8" i="5"/>
  <c r="D7" i="5"/>
  <c r="D6" i="5"/>
  <c r="D5" i="5"/>
  <c r="C10" i="5"/>
  <c r="C9" i="5"/>
  <c r="C8" i="5"/>
  <c r="C7" i="5"/>
  <c r="C6" i="5"/>
  <c r="C5" i="5"/>
  <c r="G11" i="3"/>
  <c r="G10" i="3"/>
  <c r="G9" i="3"/>
  <c r="G8" i="3"/>
  <c r="G7" i="3"/>
  <c r="G6" i="3"/>
  <c r="G5" i="3"/>
  <c r="F11" i="3"/>
  <c r="F10" i="3"/>
  <c r="F9" i="3"/>
  <c r="F8" i="3"/>
  <c r="F7" i="3"/>
  <c r="F6" i="3"/>
  <c r="F5" i="3"/>
  <c r="E11" i="3"/>
  <c r="E10" i="3"/>
  <c r="E9" i="3"/>
  <c r="E8" i="3"/>
  <c r="E7" i="3"/>
  <c r="E6" i="3"/>
  <c r="E5" i="3"/>
  <c r="D5" i="3"/>
  <c r="D11" i="3"/>
  <c r="D10" i="3"/>
  <c r="D9" i="3"/>
  <c r="D8" i="3"/>
  <c r="D7" i="3"/>
  <c r="D6" i="3"/>
  <c r="C10" i="3"/>
  <c r="C9" i="3"/>
  <c r="C8" i="3"/>
  <c r="C7" i="3"/>
  <c r="C5" i="3"/>
  <c r="C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F3" authorId="0" shapeId="0" xr:uid="{2B414082-2F6A-49AD-A4C2-12F39C3B028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여기서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이름을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선택하세요</t>
        </r>
        <r>
          <rPr>
            <sz val="9"/>
            <color indexed="81"/>
            <rFont val="Tahoma"/>
            <family val="2"/>
          </rPr>
          <t>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F3" authorId="0" shapeId="0" xr:uid="{1161E921-1BA1-459F-B569-FE81F044AC3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여기서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학반을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선택하세요</t>
        </r>
        <r>
          <rPr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<sst xmlns="http://schemas.openxmlformats.org/spreadsheetml/2006/main" count="3199" uniqueCount="616">
  <si>
    <t>교사</t>
  </si>
  <si>
    <t>월</t>
  </si>
  <si>
    <t>화</t>
  </si>
  <si>
    <t>수</t>
  </si>
  <si>
    <t>목</t>
  </si>
  <si>
    <t>금</t>
  </si>
  <si>
    <t>102_x000D_
국어</t>
  </si>
  <si>
    <t>107_x000D_
국어</t>
  </si>
  <si>
    <t>105_x000D_
국어</t>
  </si>
  <si>
    <t>101_x000D_
국어</t>
  </si>
  <si>
    <t>106_x000D_
국어</t>
  </si>
  <si>
    <t>104_x000D_
국어</t>
  </si>
  <si>
    <t>108_x000D_
국어</t>
  </si>
  <si>
    <t>103_x000D_
국어</t>
  </si>
  <si>
    <t>201_x000D_
독서</t>
  </si>
  <si>
    <t>202_x000D_
독서</t>
  </si>
  <si>
    <t>208_x000D_
독서</t>
  </si>
  <si>
    <t>205_x000D_
독서</t>
  </si>
  <si>
    <t>203_x000D_
독서</t>
  </si>
  <si>
    <t>201_x000D_
C_문영</t>
  </si>
  <si>
    <t>207_x000D_
독서</t>
  </si>
  <si>
    <t>204_x000D_
독서</t>
  </si>
  <si>
    <t>206_x000D_
독서</t>
  </si>
  <si>
    <t>204_x000D_
A_언생</t>
  </si>
  <si>
    <t>306_x000D_
K_심국</t>
  </si>
  <si>
    <t>303_x000D_
L_심국</t>
  </si>
  <si>
    <t>302_x000D_
O_심국</t>
  </si>
  <si>
    <t>304_x000D_
M_심국</t>
  </si>
  <si>
    <t>304_x000D_
N_고전</t>
  </si>
  <si>
    <t>305_x000D_
K_고전</t>
  </si>
  <si>
    <t>301_x000D_
L_고전</t>
  </si>
  <si>
    <t>303_x000D_
M_고전</t>
  </si>
  <si>
    <t>104_x000D_
수학</t>
  </si>
  <si>
    <t>106_x000D_
수학</t>
  </si>
  <si>
    <t>102_x000D_
수학</t>
  </si>
  <si>
    <t>105_x000D_
수학</t>
  </si>
  <si>
    <t>103_x000D_
수학</t>
  </si>
  <si>
    <t>107_x000D_
수학</t>
  </si>
  <si>
    <t>101_x000D_
수학</t>
  </si>
  <si>
    <t>203_x000D_
미적</t>
  </si>
  <si>
    <t>205_x000D_
미적</t>
  </si>
  <si>
    <t>204_x000D_
미적</t>
  </si>
  <si>
    <t>207_x000D_
미적</t>
  </si>
  <si>
    <t>206_x000D_
미적</t>
  </si>
  <si>
    <t>208_x000D_
미적</t>
  </si>
  <si>
    <t>201_x000D_
미적</t>
  </si>
  <si>
    <t>202_x000D_
미적</t>
  </si>
  <si>
    <t>304_x000D_
진로</t>
  </si>
  <si>
    <t>302_x000D_
진로</t>
  </si>
  <si>
    <t>301_x000D_
진로</t>
  </si>
  <si>
    <t>303_x000D_
진로</t>
  </si>
  <si>
    <t>305_x000D_
P_심리</t>
  </si>
  <si>
    <t>203_x000D_
B_기하</t>
  </si>
  <si>
    <t>201_x000D_
A_기하</t>
  </si>
  <si>
    <t>307_x000D_
K_심수1</t>
  </si>
  <si>
    <t>108_x000D_
수학</t>
  </si>
  <si>
    <t>304_x000D_
O_심수1</t>
  </si>
  <si>
    <t>305_x000D_
진로</t>
  </si>
  <si>
    <t>306_x000D_
N_심수2</t>
  </si>
  <si>
    <t>304_x000D_
L_심수2</t>
  </si>
  <si>
    <t>305_x000D_
O_심수2</t>
  </si>
  <si>
    <t>202_x000D_
A_기하</t>
  </si>
  <si>
    <t>304_x000D_
P_논리</t>
  </si>
  <si>
    <t>106_x000D_
영어</t>
  </si>
  <si>
    <t>101_x000D_
영어</t>
  </si>
  <si>
    <t>105_x000D_
영어</t>
  </si>
  <si>
    <t>104_x000D_
영어</t>
  </si>
  <si>
    <t>102_x000D_
영어</t>
  </si>
  <si>
    <t>108_x000D_
영어</t>
  </si>
  <si>
    <t>107_x000D_
영어</t>
  </si>
  <si>
    <t>103_x000D_
영어</t>
  </si>
  <si>
    <t>307_x000D_
진로</t>
  </si>
  <si>
    <t>306_x000D_
L_심영</t>
  </si>
  <si>
    <t>302_x000D_
K_심영</t>
  </si>
  <si>
    <t>306_x000D_
P_심리</t>
  </si>
  <si>
    <t>306_x000D_
진로</t>
  </si>
  <si>
    <t>202_x000D_
영어2</t>
  </si>
  <si>
    <t>204_x000D_
영어2</t>
  </si>
  <si>
    <t>207_x000D_
영어2</t>
  </si>
  <si>
    <t>205_x000D_
영어2</t>
  </si>
  <si>
    <t>206_x000D_
영어2</t>
  </si>
  <si>
    <t>203_x000D_
영어2</t>
  </si>
  <si>
    <t>201_x000D_
영어2</t>
  </si>
  <si>
    <t>307_x000D_
P_심리</t>
  </si>
  <si>
    <t>208_x000D_
영어2</t>
  </si>
  <si>
    <t>305_x000D_
N_심영</t>
  </si>
  <si>
    <t>308_x000D_
진로</t>
  </si>
  <si>
    <t>303_x000D_
O_심영</t>
  </si>
  <si>
    <t>307_x000D_
M_심영</t>
  </si>
  <si>
    <t>105_x000D_
통과</t>
  </si>
  <si>
    <t>206_x000D_
B_역학</t>
  </si>
  <si>
    <t>207_x000D_
C_역학</t>
  </si>
  <si>
    <t>205_x000D_
A_역학</t>
  </si>
  <si>
    <t>104_x000D_
통과</t>
  </si>
  <si>
    <t>106_x000D_
통과</t>
  </si>
  <si>
    <t>103_x000D_
통과</t>
  </si>
  <si>
    <t>101_x000D_
통과</t>
  </si>
  <si>
    <t>102_x000D_
통과</t>
  </si>
  <si>
    <t>107_x000D_
통과</t>
  </si>
  <si>
    <t>301_x000D_
N_물실</t>
  </si>
  <si>
    <t>303_x000D_
K_물실</t>
  </si>
  <si>
    <t>305_x000D_
L_융과</t>
  </si>
  <si>
    <t>108_x000D_
통과</t>
  </si>
  <si>
    <t>301_x000D_
P_환경</t>
  </si>
  <si>
    <t>307_x000D_
N_융과</t>
  </si>
  <si>
    <t>207_x000D_
B_화학</t>
  </si>
  <si>
    <t>103_x000D_
과탐실</t>
  </si>
  <si>
    <t>108_x000D_
과탐실</t>
  </si>
  <si>
    <t>101_x000D_
과탐실</t>
  </si>
  <si>
    <t>105_x000D_
과탐실</t>
  </si>
  <si>
    <t>104_x000D_
과탐실</t>
  </si>
  <si>
    <t>106_x000D_
과탐실</t>
  </si>
  <si>
    <t>107_x000D_
과탐실</t>
  </si>
  <si>
    <t>102_x000D_
과탐실</t>
  </si>
  <si>
    <t>306_x000D_
M_화실</t>
  </si>
  <si>
    <t>202_x000D_
B_생명</t>
  </si>
  <si>
    <t>203_x000D_
C_생명</t>
  </si>
  <si>
    <t>302_x000D_
P_환경</t>
  </si>
  <si>
    <t>304_x000D_
K_생태</t>
  </si>
  <si>
    <t>302_x000D_
L_생태</t>
  </si>
  <si>
    <t>205_x000D_
C_생물</t>
  </si>
  <si>
    <t>301_x000D_
M_생과실</t>
  </si>
  <si>
    <t>208_x000D_
기후</t>
  </si>
  <si>
    <t>303_x000D_
N_지구2</t>
  </si>
  <si>
    <t>307_x000D_
L_지구실</t>
  </si>
  <si>
    <t>301_x000D_
O_지구실</t>
  </si>
  <si>
    <t>303_x000D_
P_보건</t>
  </si>
  <si>
    <t>101_x000D_
통사</t>
  </si>
  <si>
    <t>106_x000D_
통사</t>
  </si>
  <si>
    <t>205_x000D_
B_현사윤</t>
  </si>
  <si>
    <t>103_x000D_
통사</t>
  </si>
  <si>
    <t>204_x000D_
C_현사윤</t>
  </si>
  <si>
    <t>206_x000D_
A_현사윤</t>
  </si>
  <si>
    <t>105_x000D_
통사</t>
  </si>
  <si>
    <t>108_x000D_
통사</t>
  </si>
  <si>
    <t>102_x000D_
통사</t>
  </si>
  <si>
    <t>107_x000D_
통사</t>
  </si>
  <si>
    <t>104_x000D_
통사</t>
  </si>
  <si>
    <t>301_x000D_
K_고윤</t>
  </si>
  <si>
    <t>306_x000D_
O_고윤</t>
  </si>
  <si>
    <t>207_x000D_
A_현사윤</t>
  </si>
  <si>
    <t>302_x000D_
M_고윤</t>
  </si>
  <si>
    <t>204_x000D_
B_세지</t>
  </si>
  <si>
    <t>201_x000D_
B_법사</t>
  </si>
  <si>
    <t>202_x000D_
C_법사</t>
  </si>
  <si>
    <t>305_x000D_
M_현대</t>
  </si>
  <si>
    <t>302_x000D_
N_현대</t>
  </si>
  <si>
    <t>108_x000D_
국사1</t>
  </si>
  <si>
    <t>102_x000D_
국사1</t>
  </si>
  <si>
    <t>106_x000D_
국사1</t>
  </si>
  <si>
    <t>105_x000D_
국사1</t>
  </si>
  <si>
    <t>104_x000D_
국사1</t>
  </si>
  <si>
    <t>107_x000D_
국사1</t>
  </si>
  <si>
    <t>101_x000D_
국사1</t>
  </si>
  <si>
    <t>103_x000D_
국사1</t>
  </si>
  <si>
    <t>305_x000D_
국사</t>
  </si>
  <si>
    <t>307_x000D_
국사</t>
  </si>
  <si>
    <t>306_x000D_
국사</t>
  </si>
  <si>
    <t>301_x000D_
국사</t>
  </si>
  <si>
    <t>304_x000D_
국사</t>
  </si>
  <si>
    <t>308_x000D_
국사</t>
  </si>
  <si>
    <t>303_x000D_
국사</t>
  </si>
  <si>
    <t>302_x000D_
국사</t>
  </si>
  <si>
    <t>204_x000D_
국사2</t>
  </si>
  <si>
    <t>207_x000D_
국사2</t>
  </si>
  <si>
    <t>205_x000D_
국사2</t>
  </si>
  <si>
    <t>206_x000D_
국사2</t>
  </si>
  <si>
    <t>201_x000D_
국사2</t>
  </si>
  <si>
    <t>203_x000D_
국사2</t>
  </si>
  <si>
    <t>202_x000D_
국사2</t>
  </si>
  <si>
    <t>208_x000D_
국사2</t>
  </si>
  <si>
    <t>206_x000D_
C_세계</t>
  </si>
  <si>
    <t>203_x000D_
A_세계</t>
  </si>
  <si>
    <t>205_x000D_
스포2</t>
  </si>
  <si>
    <t>207_x000D_
스포2</t>
  </si>
  <si>
    <t>208_x000D_
운동</t>
  </si>
  <si>
    <t>201_x000D_
스포2</t>
  </si>
  <si>
    <t>208_x000D_
스포2</t>
  </si>
  <si>
    <t>208_x000D_
스경기</t>
  </si>
  <si>
    <t>204_x000D_
스포2</t>
  </si>
  <si>
    <t>203_x000D_
스포2</t>
  </si>
  <si>
    <t>202_x000D_
스포2</t>
  </si>
  <si>
    <t>206_x000D_
스포2</t>
  </si>
  <si>
    <t>103_x000D_
체육</t>
  </si>
  <si>
    <t>303_x000D_
스포</t>
  </si>
  <si>
    <t>101_x000D_
체육</t>
  </si>
  <si>
    <t>102_x000D_
체육</t>
  </si>
  <si>
    <t>302_x000D_
스포</t>
  </si>
  <si>
    <t>301_x000D_
스포</t>
  </si>
  <si>
    <t>104_x000D_
체육</t>
  </si>
  <si>
    <t>105_x000D_
체육</t>
  </si>
  <si>
    <t>108_x000D_
체육</t>
  </si>
  <si>
    <t>107_x000D_
체육</t>
  </si>
  <si>
    <t>106_x000D_
체육</t>
  </si>
  <si>
    <t>304_x000D_
스포</t>
  </si>
  <si>
    <t>305_x000D_
스포</t>
  </si>
  <si>
    <t>307_x000D_
스포</t>
  </si>
  <si>
    <t>306_x000D_
스포</t>
  </si>
  <si>
    <t>308_x000D_
스포</t>
  </si>
  <si>
    <t>308_x000D_
스경체</t>
  </si>
  <si>
    <t>308_x000D_
스경실</t>
  </si>
  <si>
    <t>308_x000D_
스개론</t>
  </si>
  <si>
    <t>308_x000D_
스경분</t>
  </si>
  <si>
    <t>308_x000D_
재활</t>
  </si>
  <si>
    <t>106_x000D_
음악</t>
  </si>
  <si>
    <t>101_x000D_
음악</t>
  </si>
  <si>
    <t>104_x000D_
음악</t>
  </si>
  <si>
    <t>102_x000D_
음악</t>
  </si>
  <si>
    <t>105_x000D_
음악</t>
  </si>
  <si>
    <t>107_x000D_
음악</t>
  </si>
  <si>
    <t>103_x000D_
음악</t>
  </si>
  <si>
    <t>108_x000D_
음악</t>
  </si>
  <si>
    <t>204_x000D_
미술</t>
  </si>
  <si>
    <t>308_x000D_
미감비</t>
  </si>
  <si>
    <t>201_x000D_
미술</t>
  </si>
  <si>
    <t>203_x000D_
미술</t>
  </si>
  <si>
    <t>202_x000D_
미술</t>
  </si>
  <si>
    <t>307_x000D_
미감비</t>
  </si>
  <si>
    <t>205_x000D_
미술</t>
  </si>
  <si>
    <t>303_x000D_
미감비</t>
  </si>
  <si>
    <t>305_x000D_
미감비</t>
  </si>
  <si>
    <t>208_x000D_
미술</t>
  </si>
  <si>
    <t>302_x000D_
미감비</t>
  </si>
  <si>
    <t>304_x000D_
미감비</t>
  </si>
  <si>
    <t>207_x000D_
미술</t>
  </si>
  <si>
    <t>206_x000D_
미술</t>
  </si>
  <si>
    <t>306_x000D_
미감비</t>
  </si>
  <si>
    <t>308_x000D_
P_환경</t>
  </si>
  <si>
    <t>301_x000D_
미감비</t>
  </si>
  <si>
    <t>202_x000D_
D_일어</t>
  </si>
  <si>
    <t>307_x000D_
O_일어1</t>
  </si>
  <si>
    <t>201_x000D_
D_일어</t>
  </si>
  <si>
    <t>205_x000D_
일어</t>
  </si>
  <si>
    <t>207_x000D_
일어</t>
  </si>
  <si>
    <t>203_x000D_
일어</t>
  </si>
  <si>
    <t>204_x000D_
일어</t>
  </si>
  <si>
    <t>206_x000D_
D_독어</t>
  </si>
  <si>
    <t>208_x000D_
독어</t>
  </si>
  <si>
    <t>103_x000D_
정보</t>
  </si>
  <si>
    <t>108_x000D_
정보</t>
  </si>
  <si>
    <t>107_x000D_
정보</t>
  </si>
  <si>
    <t>209_x000D_
C_인공</t>
  </si>
  <si>
    <t>101_x000D_
정보</t>
  </si>
  <si>
    <t>106_x000D_
정보</t>
  </si>
  <si>
    <t>105_x000D_
정보</t>
  </si>
  <si>
    <t>102_x000D_
정보</t>
  </si>
  <si>
    <t>104_x000D_
정보</t>
  </si>
  <si>
    <t>102_x000D_
진학</t>
  </si>
  <si>
    <t>101_x000D_
진학</t>
  </si>
  <si>
    <t>106_x000D_
진학</t>
  </si>
  <si>
    <t>105_x000D_
진학</t>
  </si>
  <si>
    <t>104_x000D_
진학</t>
  </si>
  <si>
    <t>103_x000D_
진학</t>
  </si>
  <si>
    <t>107_x000D_
진학</t>
  </si>
  <si>
    <t>108_x000D_
진학</t>
  </si>
  <si>
    <t>가상1(04)</t>
  </si>
  <si>
    <t>301_x000D_
공강</t>
  </si>
  <si>
    <t>304_x000D_
공강</t>
  </si>
  <si>
    <t>303_x000D_
공강</t>
  </si>
  <si>
    <t>302_x000D_
공강</t>
  </si>
  <si>
    <t>가상2(04)</t>
  </si>
  <si>
    <t>가상3(05)</t>
  </si>
  <si>
    <t>307_x000D_
공강</t>
  </si>
  <si>
    <t>306_x000D_
공강</t>
  </si>
  <si>
    <t>308_x000D_
공강</t>
  </si>
  <si>
    <t>305_x000D_
공강</t>
  </si>
  <si>
    <t>가상4(04)</t>
  </si>
  <si>
    <t>전체교사시간표</t>
    <phoneticPr fontId="3" type="noConversion"/>
  </si>
  <si>
    <t>301
M_생과실</t>
    <phoneticPr fontId="3" type="noConversion"/>
  </si>
  <si>
    <t>담임</t>
    <phoneticPr fontId="3" type="noConversion"/>
  </si>
  <si>
    <t>1-1</t>
    <phoneticPr fontId="3" type="noConversion"/>
  </si>
  <si>
    <t>1-7</t>
    <phoneticPr fontId="3" type="noConversion"/>
  </si>
  <si>
    <t>2-2</t>
    <phoneticPr fontId="3" type="noConversion"/>
  </si>
  <si>
    <t>3-4</t>
    <phoneticPr fontId="3" type="noConversion"/>
  </si>
  <si>
    <t>3-5</t>
    <phoneticPr fontId="3" type="noConversion"/>
  </si>
  <si>
    <t>1-2</t>
    <phoneticPr fontId="3" type="noConversion"/>
  </si>
  <si>
    <t>2-3</t>
    <phoneticPr fontId="3" type="noConversion"/>
  </si>
  <si>
    <t>3-1</t>
    <phoneticPr fontId="3" type="noConversion"/>
  </si>
  <si>
    <t>1-6</t>
    <phoneticPr fontId="3" type="noConversion"/>
  </si>
  <si>
    <t>2-4</t>
    <phoneticPr fontId="3" type="noConversion"/>
  </si>
  <si>
    <t>3-2</t>
    <phoneticPr fontId="3" type="noConversion"/>
  </si>
  <si>
    <t>2-5</t>
    <phoneticPr fontId="3" type="noConversion"/>
  </si>
  <si>
    <t>1-3</t>
    <phoneticPr fontId="3" type="noConversion"/>
  </si>
  <si>
    <t>3-6</t>
    <phoneticPr fontId="3" type="noConversion"/>
  </si>
  <si>
    <t>2-6</t>
    <phoneticPr fontId="3" type="noConversion"/>
  </si>
  <si>
    <t>3-7</t>
    <phoneticPr fontId="3" type="noConversion"/>
  </si>
  <si>
    <t>2-1</t>
    <phoneticPr fontId="3" type="noConversion"/>
  </si>
  <si>
    <t>3-3</t>
    <phoneticPr fontId="3" type="noConversion"/>
  </si>
  <si>
    <t>2-8</t>
    <phoneticPr fontId="3" type="noConversion"/>
  </si>
  <si>
    <t>1-8</t>
    <phoneticPr fontId="3" type="noConversion"/>
  </si>
  <si>
    <t>3-8</t>
    <phoneticPr fontId="3" type="noConversion"/>
  </si>
  <si>
    <t>1-5</t>
    <phoneticPr fontId="3" type="noConversion"/>
  </si>
  <si>
    <t>2-7</t>
    <phoneticPr fontId="3" type="noConversion"/>
  </si>
  <si>
    <t>1-4</t>
    <phoneticPr fontId="3" type="noConversion"/>
  </si>
  <si>
    <t>학급</t>
  </si>
  <si>
    <t>수학_x000D_
강언화</t>
  </si>
  <si>
    <t>통사_x000D_
정지윤</t>
  </si>
  <si>
    <t>통과_x000D_
류정심</t>
  </si>
  <si>
    <t>음악_x000D_
손혜영</t>
  </si>
  <si>
    <t>영어_x000D_
김수빈</t>
  </si>
  <si>
    <t>국어_x000D_
이은주</t>
  </si>
  <si>
    <t>국사1_x000D_
송영림</t>
  </si>
  <si>
    <t>영어_x000D_
성아름</t>
  </si>
  <si>
    <t>진학_x000D_
이금순</t>
  </si>
  <si>
    <t>체육_x000D_
박은총</t>
  </si>
  <si>
    <t>정보_x000D_
이호철</t>
  </si>
  <si>
    <t>과탐실_x000D_
류효정</t>
  </si>
  <si>
    <t>수학_x000D_
장정숙</t>
  </si>
  <si>
    <t>통사_x000D_
김예민</t>
  </si>
  <si>
    <t>국사1_x000D_
전진주</t>
  </si>
  <si>
    <t>통과_x000D_
장가영</t>
  </si>
  <si>
    <t>창체</t>
  </si>
  <si>
    <t>영어_x000D_
곽선근</t>
  </si>
  <si>
    <t>통사_x000D_
오경희</t>
  </si>
  <si>
    <t>체육_x000D_
이수환</t>
  </si>
  <si>
    <t>국어_x000D_
도진희</t>
  </si>
  <si>
    <t>통과_x000D_
김주영</t>
  </si>
  <si>
    <t>통과_x000D_
최정윤</t>
  </si>
  <si>
    <t>정보_x000D_
김규강</t>
  </si>
  <si>
    <t>체육_x000D_
신광현</t>
  </si>
  <si>
    <t>통사_x000D_
이경민</t>
  </si>
  <si>
    <t>수학_x000D_
조낙원</t>
  </si>
  <si>
    <t>통사_x000D_
김광진</t>
  </si>
  <si>
    <t>통과_x000D_
정혁준</t>
  </si>
  <si>
    <t>D_일어_x000D_
도숙희</t>
  </si>
  <si>
    <t>미적_x000D_
김동춘</t>
  </si>
  <si>
    <t>독서_x000D_
배기연</t>
  </si>
  <si>
    <t>B_법사_x000D_
이경민</t>
  </si>
  <si>
    <t>미술_x000D_
박영환</t>
  </si>
  <si>
    <t>C_문영_x000D_
박지빈</t>
  </si>
  <si>
    <t>스포2_x000D_
강은일</t>
  </si>
  <si>
    <t>A_기하_x000D_
장성훈</t>
  </si>
  <si>
    <t>영어2_x000D_
전은영</t>
  </si>
  <si>
    <t>독서_x000D_
정수진</t>
  </si>
  <si>
    <t>C_문영_x000D_
배기연</t>
  </si>
  <si>
    <t>국사2_x000D_
김가향</t>
  </si>
  <si>
    <t>미적_x000D_
김이진</t>
  </si>
  <si>
    <t xml:space="preserve">_x000D_
</t>
  </si>
  <si>
    <t>D_일어_x000D_
이다영</t>
  </si>
  <si>
    <t>영어2_x000D_
곽선근</t>
  </si>
  <si>
    <t>독서_x000D_
박지빈</t>
  </si>
  <si>
    <t>스포2_x000D_
이수환</t>
  </si>
  <si>
    <t>영어2_x000D_
장지현</t>
  </si>
  <si>
    <t>국사2_x000D_
정윤희</t>
  </si>
  <si>
    <t>B_생명_x000D_
장가영</t>
  </si>
  <si>
    <t>C_법사_x000D_
이경민</t>
  </si>
  <si>
    <t>A_기하_x000D_
서종민</t>
  </si>
  <si>
    <t>미적_x000D_
이승익</t>
  </si>
  <si>
    <t>일어_x000D_
도숙희</t>
  </si>
  <si>
    <t>B_기하_x000D_
장성훈</t>
  </si>
  <si>
    <t>C_생명_x000D_
장가영</t>
  </si>
  <si>
    <t>A_세계_x000D_
정윤희</t>
  </si>
  <si>
    <t>일어_x000D_
이다영</t>
  </si>
  <si>
    <t>B_세지_x000D_
김예민</t>
  </si>
  <si>
    <t>A_언생_x000D_
박지빈</t>
  </si>
  <si>
    <t>A_언생_x000D_
정수진</t>
  </si>
  <si>
    <t>B_현사윤_x000D_
정지윤</t>
  </si>
  <si>
    <t>C_생물_x000D_
고수연</t>
  </si>
  <si>
    <t>A_역학_x000D_
김주영</t>
  </si>
  <si>
    <t>스포2_x000D_
지청호</t>
  </si>
  <si>
    <t>D_독어_x000D_
박태호</t>
  </si>
  <si>
    <t>B_역학_x000D_
김주영</t>
  </si>
  <si>
    <t>C_세계_x000D_
정윤희</t>
  </si>
  <si>
    <t>미술_x000D_
이경진</t>
  </si>
  <si>
    <t>B_화학_x000D_
류효정</t>
  </si>
  <si>
    <t>C_역학_x000D_
김주영</t>
  </si>
  <si>
    <t>독어_x000D_
박태호</t>
  </si>
  <si>
    <t>운동_x000D_
강은일</t>
  </si>
  <si>
    <t>기후_x000D_
민수빈</t>
  </si>
  <si>
    <t>스경기_x000D_
강은일</t>
  </si>
  <si>
    <t>B_교이_x000D_
김동춘</t>
  </si>
  <si>
    <t>C_인공_x000D_
이호철</t>
  </si>
  <si>
    <t>C_기하_x000D_
장성훈</t>
  </si>
  <si>
    <t>A_기초_x000D_
이수환</t>
  </si>
  <si>
    <t>A_기초_x000D_
강은일</t>
  </si>
  <si>
    <t>B_기초_x000D_
강은일</t>
  </si>
  <si>
    <t>B_기초_x000D_
이수환</t>
  </si>
  <si>
    <t>N_물실_x000D_
정혁준</t>
  </si>
  <si>
    <t>공강_x000D_
가상1</t>
  </si>
  <si>
    <t>K_고윤_x000D_
이수민</t>
  </si>
  <si>
    <t>L_고전_x000D_
박소은</t>
  </si>
  <si>
    <t>진로_x000D_
장지현</t>
  </si>
  <si>
    <t>O_지구실_x000D_
박미라</t>
  </si>
  <si>
    <t>진로_x000D_
김이진</t>
  </si>
  <si>
    <t>국사_x000D_
송영림</t>
  </si>
  <si>
    <t>M_생과실_x000D_
고수연</t>
  </si>
  <si>
    <t>공강_x000D_
가상2</t>
  </si>
  <si>
    <t>스포_x000D_
박은총</t>
  </si>
  <si>
    <t>스포_x000D_
지청호</t>
  </si>
  <si>
    <t>P_환경_x000D_
정혁준</t>
  </si>
  <si>
    <t>미감비_x000D_
이경진</t>
  </si>
  <si>
    <t>N_현대_x000D_
전진주</t>
  </si>
  <si>
    <t>K_심영_x000D_
백지은</t>
  </si>
  <si>
    <t>L_생태_x000D_
고수연</t>
  </si>
  <si>
    <t>O_심국_x000D_
조상희</t>
  </si>
  <si>
    <t>L_생태_x000D_
민수빈</t>
  </si>
  <si>
    <t>M_고윤_x000D_
이수민</t>
  </si>
  <si>
    <t>N_현대_x000D_
이경민</t>
  </si>
  <si>
    <t>진로_x000D_
정혁준</t>
  </si>
  <si>
    <t>K_심영_x000D_
성아름</t>
  </si>
  <si>
    <t>P_환경_x000D_
장가영</t>
  </si>
  <si>
    <t>N_현대_x000D_
정윤희</t>
  </si>
  <si>
    <t>N_지구2_x000D_
박미라</t>
  </si>
  <si>
    <t>K_물실_x000D_
정혁준</t>
  </si>
  <si>
    <t>L_심국_x000D_
조상희</t>
  </si>
  <si>
    <t>O_심영_x000D_
백지은</t>
  </si>
  <si>
    <t>O_심영_x000D_
장지현</t>
  </si>
  <si>
    <t>진로_x000D_
박미라</t>
  </si>
  <si>
    <t>M_고전_x000D_
박소은</t>
  </si>
  <si>
    <t>P_보건_x000D_
박미라</t>
  </si>
  <si>
    <t>N_고전_x000D_
박소은</t>
  </si>
  <si>
    <t>K_생태_x000D_
고수연</t>
  </si>
  <si>
    <t>L_심수2_x000D_
서종민</t>
  </si>
  <si>
    <t>O_심수1_x000D_
조낙원</t>
  </si>
  <si>
    <t>K_생태_x000D_
민수빈</t>
  </si>
  <si>
    <t>M_심국_x000D_
조상희</t>
  </si>
  <si>
    <t>스포_x000D_
신광현</t>
  </si>
  <si>
    <t>K_생태_x000D_
최정윤</t>
  </si>
  <si>
    <t>P_논리_x000D_
서종민</t>
  </si>
  <si>
    <t>N_심영_x000D_
장지현</t>
  </si>
  <si>
    <t>K_고전_x000D_
박소은</t>
  </si>
  <si>
    <t>L_융과_x000D_
정혁준</t>
  </si>
  <si>
    <t>O_심수2_x000D_
서종민</t>
  </si>
  <si>
    <t>진로_x000D_
조낙원</t>
  </si>
  <si>
    <t>M_현대_x000D_
김가향</t>
  </si>
  <si>
    <t>M_현대_x000D_
이경민</t>
  </si>
  <si>
    <t>N_심영_x000D_
백지은</t>
  </si>
  <si>
    <t>진로_x000D_
박영환</t>
  </si>
  <si>
    <t>공강_x000D_
가상3</t>
  </si>
  <si>
    <t>M_현대_x000D_
정윤희</t>
  </si>
  <si>
    <t>공강_x000D_
가상4</t>
  </si>
  <si>
    <t>P_심리_x000D_
김이진</t>
  </si>
  <si>
    <t>N_심수2_x000D_
서종민</t>
  </si>
  <si>
    <t>K_심국_x000D_
조상희</t>
  </si>
  <si>
    <t>L_심영_x000D_
백지은</t>
  </si>
  <si>
    <t>O_고윤_x000D_
이수민</t>
  </si>
  <si>
    <t>M_화실_x000D_
류정심</t>
  </si>
  <si>
    <t>L_심영_x000D_
성아름</t>
  </si>
  <si>
    <t>P_심리_x000D_
성아름</t>
  </si>
  <si>
    <t>진로_x000D_
성아름</t>
  </si>
  <si>
    <t>N_융과_x000D_
류효정</t>
  </si>
  <si>
    <t>K_심수1_x000D_
조낙원</t>
  </si>
  <si>
    <t>L_지구실_x000D_
박미라</t>
  </si>
  <si>
    <t>O_일어1_x000D_
이다영</t>
  </si>
  <si>
    <t>M_심영_x000D_
장지현</t>
  </si>
  <si>
    <t>M_심영_x000D_
백지은</t>
  </si>
  <si>
    <t>미감비_x000D_
박영환</t>
  </si>
  <si>
    <t>진로_x000D_
이경진</t>
  </si>
  <si>
    <t>P_심리_x000D_
곽선근</t>
  </si>
  <si>
    <t>스개론_x000D_
박승순</t>
  </si>
  <si>
    <t>스경체_x000D_
신광현</t>
  </si>
  <si>
    <t>스경분_x000D_
박승순</t>
  </si>
  <si>
    <t>스경실_x000D_
신광현</t>
  </si>
  <si>
    <t>재활_x000D_
박승순</t>
  </si>
  <si>
    <t>P_환경_x000D_
이경진</t>
  </si>
  <si>
    <t>N_창경_x000D_
임병율</t>
  </si>
  <si>
    <t>K_실수_x000D_
장성훈</t>
  </si>
  <si>
    <t>L_일어1_x000D_
이다영</t>
  </si>
  <si>
    <t>O_체전실_x000D_
지청호</t>
  </si>
  <si>
    <t>K_실수_x000D_
김이진</t>
  </si>
  <si>
    <t>O_체전실_x000D_
박은총</t>
  </si>
  <si>
    <t>M_공학_x000D_
임병율</t>
  </si>
  <si>
    <t>P_교육_x000D_
백지은</t>
  </si>
  <si>
    <t>N_생과실_x000D_
고수연</t>
  </si>
  <si>
    <t>K_공학_x000D_
임병율</t>
  </si>
  <si>
    <t>L_창경_x000D_
임병율</t>
  </si>
  <si>
    <t>O_비교_x000D_
김광진</t>
  </si>
  <si>
    <t>M_실수_x000D_
김이진</t>
  </si>
  <si>
    <t>M_실수_x000D_
장성훈</t>
  </si>
  <si>
    <t>P_실용_x000D_
박영환</t>
  </si>
  <si>
    <t>N_비교_x000D_
김광진</t>
  </si>
  <si>
    <t>L_화실_x000D_
류정심</t>
  </si>
  <si>
    <t>P_교육_x000D_
장지현</t>
  </si>
  <si>
    <t>1학년1반</t>
    <phoneticPr fontId="3" type="noConversion"/>
  </si>
  <si>
    <t>1학년2반</t>
    <phoneticPr fontId="3" type="noConversion"/>
  </si>
  <si>
    <t>1학년3반</t>
  </si>
  <si>
    <t>1학년4반</t>
  </si>
  <si>
    <t>1학년5반</t>
  </si>
  <si>
    <t>1학년6반</t>
  </si>
  <si>
    <t>1학년7반</t>
  </si>
  <si>
    <t>1학년8반</t>
  </si>
  <si>
    <t>2학년1반</t>
    <phoneticPr fontId="3" type="noConversion"/>
  </si>
  <si>
    <t>2학년2반</t>
    <phoneticPr fontId="3" type="noConversion"/>
  </si>
  <si>
    <t>2학년3반</t>
  </si>
  <si>
    <t>2학년4반</t>
  </si>
  <si>
    <t>2학년5반</t>
  </si>
  <si>
    <t>2학년6반</t>
  </si>
  <si>
    <t>2학년7반</t>
  </si>
  <si>
    <t>2학년8반</t>
  </si>
  <si>
    <t>A_현사윤
정지윤</t>
    <phoneticPr fontId="3" type="noConversion"/>
  </si>
  <si>
    <t>A_현사윤
이수민</t>
    <phoneticPr fontId="3" type="noConversion"/>
  </si>
  <si>
    <t>C_현사윤
정지윤</t>
    <phoneticPr fontId="3" type="noConversion"/>
  </si>
  <si>
    <t>O_지구실
박미라</t>
    <phoneticPr fontId="3" type="noConversion"/>
  </si>
  <si>
    <t>3학년1반</t>
  </si>
  <si>
    <t>3학년1반</t>
    <phoneticPr fontId="3" type="noConversion"/>
  </si>
  <si>
    <t>3학년2반</t>
    <phoneticPr fontId="3" type="noConversion"/>
  </si>
  <si>
    <t>3학년3반</t>
  </si>
  <si>
    <t>3학년4반</t>
  </si>
  <si>
    <t>3학년5반</t>
  </si>
  <si>
    <t>3학년6반</t>
  </si>
  <si>
    <t>3학년7반</t>
  </si>
  <si>
    <t>3학년8반</t>
  </si>
  <si>
    <t>멀티
미디어실</t>
    <phoneticPr fontId="3" type="noConversion"/>
  </si>
  <si>
    <t>전체학급시간표</t>
    <phoneticPr fontId="3" type="noConversion"/>
  </si>
  <si>
    <t>교사명</t>
  </si>
  <si>
    <t>이은주</t>
  </si>
  <si>
    <t>이은주</t>
    <phoneticPr fontId="3" type="noConversion"/>
  </si>
  <si>
    <t>도진희</t>
    <phoneticPr fontId="3" type="noConversion"/>
  </si>
  <si>
    <t>김이진</t>
    <phoneticPr fontId="3" type="noConversion"/>
  </si>
  <si>
    <t>배기연</t>
    <phoneticPr fontId="3" type="noConversion"/>
  </si>
  <si>
    <t>시수</t>
    <phoneticPr fontId="3" type="noConversion"/>
  </si>
  <si>
    <t>정수진</t>
    <phoneticPr fontId="3" type="noConversion"/>
  </si>
  <si>
    <t>박지빈</t>
    <phoneticPr fontId="3" type="noConversion"/>
  </si>
  <si>
    <t>조상희</t>
    <phoneticPr fontId="3" type="noConversion"/>
  </si>
  <si>
    <t>박소은</t>
    <phoneticPr fontId="3" type="noConversion"/>
  </si>
  <si>
    <t>장정숙</t>
    <phoneticPr fontId="3" type="noConversion"/>
  </si>
  <si>
    <t>강언화</t>
    <phoneticPr fontId="3" type="noConversion"/>
  </si>
  <si>
    <t>이승익</t>
    <phoneticPr fontId="3" type="noConversion"/>
  </si>
  <si>
    <t>김동춘</t>
    <phoneticPr fontId="3" type="noConversion"/>
  </si>
  <si>
    <t>장성훈</t>
    <phoneticPr fontId="3" type="noConversion"/>
  </si>
  <si>
    <t>조낙원</t>
    <phoneticPr fontId="3" type="noConversion"/>
  </si>
  <si>
    <t>서종민</t>
    <phoneticPr fontId="3" type="noConversion"/>
  </si>
  <si>
    <t>김수빈</t>
    <phoneticPr fontId="3" type="noConversion"/>
  </si>
  <si>
    <t>성아름</t>
    <phoneticPr fontId="3" type="noConversion"/>
  </si>
  <si>
    <t>곽선근</t>
    <phoneticPr fontId="3" type="noConversion"/>
  </si>
  <si>
    <t>전은영</t>
    <phoneticPr fontId="3" type="noConversion"/>
  </si>
  <si>
    <t>장지현</t>
    <phoneticPr fontId="3" type="noConversion"/>
  </si>
  <si>
    <t>백지은</t>
    <phoneticPr fontId="3" type="noConversion"/>
  </si>
  <si>
    <t>김주영</t>
    <phoneticPr fontId="3" type="noConversion"/>
  </si>
  <si>
    <t>정혁준</t>
    <phoneticPr fontId="3" type="noConversion"/>
  </si>
  <si>
    <t>류효정</t>
    <phoneticPr fontId="3" type="noConversion"/>
  </si>
  <si>
    <t>류정심</t>
    <phoneticPr fontId="3" type="noConversion"/>
  </si>
  <si>
    <t>장가영</t>
    <phoneticPr fontId="3" type="noConversion"/>
  </si>
  <si>
    <t>고수연</t>
    <phoneticPr fontId="3" type="noConversion"/>
  </si>
  <si>
    <t>최정윤</t>
    <phoneticPr fontId="3" type="noConversion"/>
  </si>
  <si>
    <t>민수빈</t>
    <phoneticPr fontId="3" type="noConversion"/>
  </si>
  <si>
    <t>박미라</t>
    <phoneticPr fontId="3" type="noConversion"/>
  </si>
  <si>
    <t>정지윤</t>
    <phoneticPr fontId="3" type="noConversion"/>
  </si>
  <si>
    <t>이수민</t>
    <phoneticPr fontId="3" type="noConversion"/>
  </si>
  <si>
    <t>김예민</t>
    <phoneticPr fontId="3" type="noConversion"/>
  </si>
  <si>
    <t>김광진</t>
    <phoneticPr fontId="3" type="noConversion"/>
  </si>
  <si>
    <t>이경민</t>
    <phoneticPr fontId="3" type="noConversion"/>
  </si>
  <si>
    <t>오경희</t>
    <phoneticPr fontId="3" type="noConversion"/>
  </si>
  <si>
    <t>전진주</t>
    <phoneticPr fontId="3" type="noConversion"/>
  </si>
  <si>
    <t>송영림</t>
    <phoneticPr fontId="3" type="noConversion"/>
  </si>
  <si>
    <t>김가향</t>
    <phoneticPr fontId="3" type="noConversion"/>
  </si>
  <si>
    <t>정윤희</t>
    <phoneticPr fontId="3" type="noConversion"/>
  </si>
  <si>
    <t>강은일</t>
    <phoneticPr fontId="3" type="noConversion"/>
  </si>
  <si>
    <t>박은총</t>
    <phoneticPr fontId="3" type="noConversion"/>
  </si>
  <si>
    <t>이수환</t>
    <phoneticPr fontId="3" type="noConversion"/>
  </si>
  <si>
    <t>지청호</t>
    <phoneticPr fontId="3" type="noConversion"/>
  </si>
  <si>
    <t>신광현</t>
    <phoneticPr fontId="3" type="noConversion"/>
  </si>
  <si>
    <t>박승순</t>
    <phoneticPr fontId="3" type="noConversion"/>
  </si>
  <si>
    <t>손혜영</t>
    <phoneticPr fontId="3" type="noConversion"/>
  </si>
  <si>
    <t>박영환</t>
    <phoneticPr fontId="3" type="noConversion"/>
  </si>
  <si>
    <t>이경진</t>
    <phoneticPr fontId="3" type="noConversion"/>
  </si>
  <si>
    <t>이다영</t>
    <phoneticPr fontId="3" type="noConversion"/>
  </si>
  <si>
    <t>도숙희</t>
    <phoneticPr fontId="3" type="noConversion"/>
  </si>
  <si>
    <t>박태호</t>
    <phoneticPr fontId="3" type="noConversion"/>
  </si>
  <si>
    <t>이호철</t>
    <phoneticPr fontId="3" type="noConversion"/>
  </si>
  <si>
    <t>김규강</t>
    <phoneticPr fontId="3" type="noConversion"/>
  </si>
  <si>
    <t>임병율</t>
    <phoneticPr fontId="3" type="noConversion"/>
  </si>
  <si>
    <t>이금순</t>
    <phoneticPr fontId="3" type="noConversion"/>
  </si>
  <si>
    <t>창체</t>
    <phoneticPr fontId="3" type="noConversion"/>
  </si>
  <si>
    <t>당겨오기수업</t>
    <phoneticPr fontId="3" type="noConversion"/>
  </si>
  <si>
    <t>210(선택4)
C_기하</t>
    <phoneticPr fontId="3" type="noConversion"/>
  </si>
  <si>
    <t>210(선택4)
A_기초</t>
    <phoneticPr fontId="3" type="noConversion"/>
  </si>
  <si>
    <t>211(선택3)
B_기초</t>
    <phoneticPr fontId="3" type="noConversion"/>
  </si>
  <si>
    <t>309(선택1)
N_창경</t>
    <phoneticPr fontId="3" type="noConversion"/>
  </si>
  <si>
    <t>309(선택1)
K_실수</t>
    <phoneticPr fontId="3" type="noConversion"/>
  </si>
  <si>
    <t>309(선택1)
L_일어1</t>
    <phoneticPr fontId="3" type="noConversion"/>
  </si>
  <si>
    <t>309(선택1)
O_체전실</t>
    <phoneticPr fontId="3" type="noConversion"/>
  </si>
  <si>
    <t>309(선택1)
M_공학</t>
    <phoneticPr fontId="3" type="noConversion"/>
  </si>
  <si>
    <t>309(선택1)
P_교육</t>
    <phoneticPr fontId="3" type="noConversion"/>
  </si>
  <si>
    <t>310(선택2)
N_생과실</t>
    <phoneticPr fontId="3" type="noConversion"/>
  </si>
  <si>
    <t>310(선택2)
K_공학</t>
    <phoneticPr fontId="3" type="noConversion"/>
  </si>
  <si>
    <t>310(선택2)
L_창경</t>
    <phoneticPr fontId="3" type="noConversion"/>
  </si>
  <si>
    <t>310(선택2)
O_비교</t>
    <phoneticPr fontId="3" type="noConversion"/>
  </si>
  <si>
    <t>310(선택2)
M_실수</t>
    <phoneticPr fontId="3" type="noConversion"/>
  </si>
  <si>
    <t>310(선택2)
P_실용</t>
    <phoneticPr fontId="3" type="noConversion"/>
  </si>
  <si>
    <t>311(선택3)
N_비교</t>
    <phoneticPr fontId="3" type="noConversion"/>
  </si>
  <si>
    <t>311(선택3)
L_화실</t>
    <phoneticPr fontId="3" type="noConversion"/>
  </si>
  <si>
    <t>311(선택3)
P_교육</t>
    <phoneticPr fontId="3" type="noConversion"/>
  </si>
  <si>
    <t>당겨오기
수업</t>
    <phoneticPr fontId="3" type="noConversion"/>
  </si>
  <si>
    <t>이동수업B</t>
    <phoneticPr fontId="3" type="noConversion"/>
  </si>
  <si>
    <t>이동수업C</t>
    <phoneticPr fontId="3" type="noConversion"/>
  </si>
  <si>
    <t>이동수업A</t>
    <phoneticPr fontId="3" type="noConversion"/>
  </si>
  <si>
    <t>이동수업N</t>
    <phoneticPr fontId="3" type="noConversion"/>
  </si>
  <si>
    <t>이동수업K</t>
    <phoneticPr fontId="3" type="noConversion"/>
  </si>
  <si>
    <t>이동수업L</t>
    <phoneticPr fontId="3" type="noConversion"/>
  </si>
  <si>
    <t>이동수업O</t>
    <phoneticPr fontId="3" type="noConversion"/>
  </si>
  <si>
    <t>이동수업M</t>
    <phoneticPr fontId="3" type="noConversion"/>
  </si>
  <si>
    <t>이동수업P</t>
    <phoneticPr fontId="3" type="noConversion"/>
  </si>
  <si>
    <t>이동수업D</t>
    <phoneticPr fontId="3" type="noConversion"/>
  </si>
  <si>
    <t>학 반</t>
    <phoneticPr fontId="3" type="noConversion"/>
  </si>
  <si>
    <t>월</t>
    <phoneticPr fontId="3" type="noConversion"/>
  </si>
  <si>
    <t>화</t>
    <phoneticPr fontId="3" type="noConversion"/>
  </si>
  <si>
    <t>수</t>
    <phoneticPr fontId="3" type="noConversion"/>
  </si>
  <si>
    <t>목</t>
    <phoneticPr fontId="3" type="noConversion"/>
  </si>
  <si>
    <t>금</t>
    <phoneticPr fontId="3" type="noConversion"/>
  </si>
  <si>
    <t>2026학년도 2학기 시간표</t>
    <phoneticPr fontId="3" type="noConversion"/>
  </si>
  <si>
    <t>선택1실(309)</t>
    <phoneticPr fontId="3" type="noConversion"/>
  </si>
  <si>
    <t>선택2실(310)</t>
    <phoneticPr fontId="3" type="noConversion"/>
  </si>
  <si>
    <t>선택3실(311)</t>
    <phoneticPr fontId="3" type="noConversion"/>
  </si>
  <si>
    <t>210(선택4)
B_교이</t>
    <phoneticPr fontId="3" type="noConversion"/>
  </si>
  <si>
    <t>210(선텍4)
B_교이</t>
    <phoneticPr fontId="3" type="noConversion"/>
  </si>
  <si>
    <t>선택4실(210)</t>
    <phoneticPr fontId="3" type="noConversion"/>
  </si>
  <si>
    <t>선택3실(211)</t>
    <phoneticPr fontId="3" type="noConversion"/>
  </si>
  <si>
    <t>206
독서</t>
    <phoneticPr fontId="3" type="noConversion"/>
  </si>
  <si>
    <t>205
영어2</t>
    <phoneticPr fontId="3" type="noConversion"/>
  </si>
  <si>
    <t>203
영어2</t>
    <phoneticPr fontId="3" type="noConversion"/>
  </si>
  <si>
    <t>206
국사2</t>
    <phoneticPr fontId="3" type="noConversion"/>
  </si>
  <si>
    <t>국사2
정윤희</t>
    <phoneticPr fontId="3" type="noConversion"/>
  </si>
  <si>
    <t>독서
박지빈</t>
    <phoneticPr fontId="3" type="noConversion"/>
  </si>
  <si>
    <t>일어
도숙희</t>
    <phoneticPr fontId="3" type="noConversion"/>
  </si>
  <si>
    <t>영어2
전은영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</si>
</sst>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"/>
  </numFmts>
  <fonts count="13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8"/>
      <color theme="1"/>
      <name val="맑은 고딕"/>
      <family val="2"/>
      <charset val="129"/>
      <scheme val="minor"/>
    </font>
    <font>
      <sz val="20"/>
      <color theme="1"/>
      <name val="HY견고딕"/>
      <family val="1"/>
      <charset val="129"/>
    </font>
    <font>
      <sz val="14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4"/>
      <color theme="1"/>
      <name val="맑은 고딕"/>
      <family val="3"/>
      <charset val="129"/>
      <scheme val="minor"/>
    </font>
    <font>
      <sz val="22"/>
      <color theme="1"/>
      <name val="맑은 고딕"/>
      <family val="3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/>
      <right style="hair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76">
    <xf numFmtId="0" fontId="0" fillId="0" borderId="0" xfId="0">
      <alignment vertical="center"/>
    </xf>
    <xf numFmtId="0" fontId="2" fillId="0" borderId="2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29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25" xfId="0" applyFont="1" applyFill="1" applyBorder="1" applyAlignment="1">
      <alignment horizontal="center" vertical="center" wrapText="1"/>
    </xf>
    <xf numFmtId="0" fontId="2" fillId="5" borderId="26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5" borderId="29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2" fillId="8" borderId="11" xfId="0" applyFont="1" applyFill="1" applyBorder="1" applyAlignment="1">
      <alignment horizontal="center" vertical="center" wrapText="1"/>
    </xf>
    <xf numFmtId="0" fontId="2" fillId="8" borderId="10" xfId="0" applyFont="1" applyFill="1" applyBorder="1" applyAlignment="1">
      <alignment horizontal="center" vertical="center" wrapText="1"/>
    </xf>
    <xf numFmtId="0" fontId="2" fillId="9" borderId="11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2" fillId="10" borderId="7" xfId="0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  <xf numFmtId="0" fontId="2" fillId="10" borderId="11" xfId="0" applyFont="1" applyFill="1" applyBorder="1" applyAlignment="1">
      <alignment horizontal="center" vertical="center" wrapText="1"/>
    </xf>
    <xf numFmtId="0" fontId="2" fillId="10" borderId="9" xfId="0" applyFont="1" applyFill="1" applyBorder="1" applyAlignment="1">
      <alignment horizontal="center" vertical="center" wrapText="1"/>
    </xf>
    <xf numFmtId="0" fontId="2" fillId="10" borderId="29" xfId="0" applyFont="1" applyFill="1" applyBorder="1" applyAlignment="1">
      <alignment horizontal="center" vertical="center" wrapText="1"/>
    </xf>
    <xf numFmtId="0" fontId="2" fillId="10" borderId="10" xfId="0" applyFont="1" applyFill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 vertical="center" wrapText="1"/>
    </xf>
    <xf numFmtId="0" fontId="2" fillId="10" borderId="25" xfId="0" applyFont="1" applyFill="1" applyBorder="1" applyAlignment="1">
      <alignment horizontal="center" vertical="center" wrapText="1"/>
    </xf>
    <xf numFmtId="0" fontId="2" fillId="10" borderId="23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2" fillId="11" borderId="11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 shrinkToFit="1"/>
    </xf>
    <xf numFmtId="49" fontId="2" fillId="0" borderId="19" xfId="0" applyNumberFormat="1" applyFont="1" applyBorder="1" applyAlignment="1">
      <alignment horizontal="center" vertical="center" wrapText="1"/>
    </xf>
    <xf numFmtId="49" fontId="2" fillId="0" borderId="22" xfId="0" applyNumberFormat="1" applyFont="1" applyBorder="1" applyAlignment="1">
      <alignment horizontal="center" vertical="center" wrapText="1"/>
    </xf>
    <xf numFmtId="49" fontId="2" fillId="0" borderId="28" xfId="0" applyNumberFormat="1" applyFont="1" applyBorder="1" applyAlignment="1">
      <alignment horizontal="center" vertical="center" wrapText="1"/>
    </xf>
    <xf numFmtId="49" fontId="2" fillId="0" borderId="20" xfId="0" applyNumberFormat="1" applyFont="1" applyBorder="1" applyAlignment="1">
      <alignment horizontal="center" vertical="center" wrapText="1"/>
    </xf>
    <xf numFmtId="49" fontId="2" fillId="0" borderId="32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49" fontId="2" fillId="0" borderId="21" xfId="0" applyNumberFormat="1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4" borderId="17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5" borderId="17" xfId="0" applyFont="1" applyFill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6" borderId="13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4" borderId="24" xfId="0" applyFont="1" applyFill="1" applyBorder="1" applyAlignment="1">
      <alignment horizontal="center" vertical="center" wrapText="1"/>
    </xf>
    <xf numFmtId="0" fontId="2" fillId="9" borderId="8" xfId="0" applyFont="1" applyFill="1" applyBorder="1" applyAlignment="1">
      <alignment horizontal="center" vertical="center" wrapText="1"/>
    </xf>
    <xf numFmtId="0" fontId="2" fillId="9" borderId="17" xfId="0" applyFont="1" applyFill="1" applyBorder="1" applyAlignment="1">
      <alignment horizontal="center" vertical="center" wrapText="1"/>
    </xf>
    <xf numFmtId="0" fontId="2" fillId="12" borderId="8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  <xf numFmtId="0" fontId="2" fillId="10" borderId="8" xfId="0" applyFont="1" applyFill="1" applyBorder="1" applyAlignment="1">
      <alignment horizontal="center" vertical="center" wrapText="1"/>
    </xf>
    <xf numFmtId="0" fontId="2" fillId="11" borderId="8" xfId="0" applyFont="1" applyFill="1" applyBorder="1" applyAlignment="1">
      <alignment horizontal="center" vertical="center" wrapText="1"/>
    </xf>
    <xf numFmtId="0" fontId="2" fillId="10" borderId="17" xfId="0" applyFont="1" applyFill="1" applyBorder="1" applyAlignment="1">
      <alignment horizontal="center" vertical="center" wrapText="1"/>
    </xf>
    <xf numFmtId="0" fontId="2" fillId="10" borderId="6" xfId="0" applyFont="1" applyFill="1" applyBorder="1" applyAlignment="1">
      <alignment horizontal="center" vertical="center" wrapText="1"/>
    </xf>
    <xf numFmtId="0" fontId="2" fillId="5" borderId="27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2" fillId="7" borderId="13" xfId="0" applyFont="1" applyFill="1" applyBorder="1" applyAlignment="1">
      <alignment horizontal="center" vertical="center" wrapText="1"/>
    </xf>
    <xf numFmtId="0" fontId="2" fillId="8" borderId="17" xfId="0" applyFont="1" applyFill="1" applyBorder="1" applyAlignment="1">
      <alignment horizontal="center" vertical="center" wrapText="1"/>
    </xf>
    <xf numFmtId="0" fontId="2" fillId="8" borderId="8" xfId="0" applyFont="1" applyFill="1" applyBorder="1" applyAlignment="1">
      <alignment horizontal="center" vertical="center" wrapText="1"/>
    </xf>
    <xf numFmtId="0" fontId="2" fillId="8" borderId="12" xfId="0" applyFont="1" applyFill="1" applyBorder="1" applyAlignment="1">
      <alignment horizontal="center" vertical="center" wrapText="1"/>
    </xf>
    <xf numFmtId="0" fontId="2" fillId="8" borderId="13" xfId="0" applyFont="1" applyFill="1" applyBorder="1" applyAlignment="1">
      <alignment horizontal="center" vertical="center" wrapText="1"/>
    </xf>
    <xf numFmtId="49" fontId="2" fillId="0" borderId="22" xfId="0" quotePrefix="1" applyNumberFormat="1" applyFont="1" applyBorder="1" applyAlignment="1">
      <alignment horizontal="center" vertical="center" wrapText="1"/>
    </xf>
    <xf numFmtId="49" fontId="2" fillId="0" borderId="20" xfId="0" quotePrefix="1" applyNumberFormat="1" applyFont="1" applyBorder="1" applyAlignment="1">
      <alignment horizontal="center" vertical="center" wrapText="1"/>
    </xf>
    <xf numFmtId="49" fontId="2" fillId="0" borderId="21" xfId="0" quotePrefix="1" applyNumberFormat="1" applyFont="1" applyBorder="1" applyAlignment="1">
      <alignment horizontal="center" vertical="center" wrapText="1"/>
    </xf>
    <xf numFmtId="49" fontId="2" fillId="0" borderId="37" xfId="0" quotePrefix="1" applyNumberFormat="1" applyFont="1" applyBorder="1" applyAlignment="1">
      <alignment horizontal="center" vertical="center" wrapText="1"/>
    </xf>
    <xf numFmtId="49" fontId="2" fillId="0" borderId="38" xfId="0" quotePrefix="1" applyNumberFormat="1" applyFont="1" applyBorder="1" applyAlignment="1">
      <alignment horizontal="center" vertical="center" wrapText="1"/>
    </xf>
    <xf numFmtId="49" fontId="2" fillId="0" borderId="39" xfId="0" quotePrefix="1" applyNumberFormat="1" applyFont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9" borderId="13" xfId="0" applyFont="1" applyFill="1" applyBorder="1" applyAlignment="1">
      <alignment horizontal="center" vertical="center" wrapText="1"/>
    </xf>
    <xf numFmtId="0" fontId="2" fillId="9" borderId="12" xfId="0" applyFont="1" applyFill="1" applyBorder="1" applyAlignment="1">
      <alignment horizontal="center" vertical="center" wrapText="1"/>
    </xf>
    <xf numFmtId="0" fontId="2" fillId="8" borderId="9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0" fillId="13" borderId="43" xfId="0" applyFill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0" fontId="6" fillId="0" borderId="50" xfId="0" applyFont="1" applyBorder="1" applyAlignment="1">
      <alignment horizontal="center" vertical="center"/>
    </xf>
    <xf numFmtId="176" fontId="7" fillId="12" borderId="51" xfId="0" applyNumberFormat="1" applyFont="1" applyFill="1" applyBorder="1" applyAlignment="1">
      <alignment horizontal="center" vertical="center" wrapText="1"/>
    </xf>
    <xf numFmtId="176" fontId="7" fillId="12" borderId="52" xfId="0" applyNumberFormat="1" applyFont="1" applyFill="1" applyBorder="1" applyAlignment="1">
      <alignment horizontal="center" vertical="center" wrapText="1"/>
    </xf>
    <xf numFmtId="0" fontId="6" fillId="0" borderId="53" xfId="0" applyFont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176" fontId="7" fillId="12" borderId="55" xfId="0" applyNumberFormat="1" applyFont="1" applyFill="1" applyBorder="1" applyAlignment="1">
      <alignment horizontal="center" vertical="center" wrapText="1"/>
    </xf>
    <xf numFmtId="176" fontId="7" fillId="12" borderId="56" xfId="0" applyNumberFormat="1" applyFont="1" applyFill="1" applyBorder="1" applyAlignment="1">
      <alignment horizontal="center" vertical="center" wrapText="1"/>
    </xf>
    <xf numFmtId="176" fontId="7" fillId="12" borderId="57" xfId="0" applyNumberFormat="1" applyFont="1" applyFill="1" applyBorder="1" applyAlignment="1">
      <alignment horizontal="center" vertical="center" wrapText="1"/>
    </xf>
    <xf numFmtId="0" fontId="6" fillId="13" borderId="44" xfId="0" applyFont="1" applyFill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58" xfId="0" applyFont="1" applyBorder="1" applyAlignment="1">
      <alignment horizontal="center" vertical="center"/>
    </xf>
    <xf numFmtId="0" fontId="6" fillId="0" borderId="59" xfId="0" applyFont="1" applyBorder="1" applyAlignment="1">
      <alignment horizontal="center" vertical="center"/>
    </xf>
    <xf numFmtId="0" fontId="6" fillId="0" borderId="60" xfId="0" applyFont="1" applyBorder="1" applyAlignment="1">
      <alignment horizontal="center" vertical="center"/>
    </xf>
    <xf numFmtId="0" fontId="6" fillId="0" borderId="61" xfId="0" applyFont="1" applyBorder="1" applyAlignment="1">
      <alignment horizontal="center" vertical="center"/>
    </xf>
    <xf numFmtId="0" fontId="6" fillId="0" borderId="62" xfId="0" applyFont="1" applyBorder="1" applyAlignment="1">
      <alignment horizontal="center" vertical="center" wrapText="1"/>
    </xf>
    <xf numFmtId="0" fontId="6" fillId="0" borderId="51" xfId="0" applyFont="1" applyBorder="1" applyAlignment="1">
      <alignment horizontal="center" vertical="center" wrapText="1"/>
    </xf>
    <xf numFmtId="0" fontId="6" fillId="0" borderId="52" xfId="0" applyFont="1" applyBorder="1" applyAlignment="1">
      <alignment horizontal="center" vertical="center" wrapText="1"/>
    </xf>
    <xf numFmtId="0" fontId="6" fillId="0" borderId="63" xfId="0" applyFont="1" applyBorder="1" applyAlignment="1">
      <alignment horizontal="center" vertical="center"/>
    </xf>
    <xf numFmtId="0" fontId="6" fillId="0" borderId="64" xfId="0" applyFont="1" applyBorder="1" applyAlignment="1">
      <alignment horizontal="center" vertical="center"/>
    </xf>
    <xf numFmtId="0" fontId="6" fillId="0" borderId="65" xfId="0" applyFont="1" applyBorder="1" applyAlignment="1">
      <alignment horizontal="center" vertical="center" wrapText="1"/>
    </xf>
    <xf numFmtId="0" fontId="6" fillId="0" borderId="56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49" fontId="2" fillId="0" borderId="34" xfId="0" applyNumberFormat="1" applyFont="1" applyBorder="1" applyAlignment="1">
      <alignment horizontal="center" vertical="center" wrapText="1"/>
    </xf>
    <xf numFmtId="49" fontId="2" fillId="0" borderId="35" xfId="0" applyNumberFormat="1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0" fillId="13" borderId="44" xfId="0" applyFill="1" applyBorder="1" applyAlignment="1">
      <alignment horizontal="center" vertical="center"/>
    </xf>
    <xf numFmtId="0" fontId="0" fillId="13" borderId="45" xfId="0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49" fontId="11" fillId="13" borderId="44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66FFFF"/>
      <color rgb="FF6699FF"/>
      <color rgb="FFFF9999"/>
      <color rgb="FFFF99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25FAC-0E13-4DB0-B2D9-7B6B7B0CF4E2}">
  <sheetPr>
    <pageSetUpPr fitToPage="1"/>
  </sheetPr>
  <dimension ref="A1:AK64"/>
  <sheetViews>
    <sheetView tabSelected="1" zoomScale="60" zoomScaleNormal="60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AK1"/>
    </sheetView>
  </sheetViews>
  <sheetFormatPr defaultRowHeight="13.2" x14ac:dyDescent="0.4"/>
  <cols>
    <col min="1" max="1" width="6.59765625" style="28" customWidth="1"/>
    <col min="2" max="2" width="3.296875" style="28" customWidth="1"/>
    <col min="3" max="3" width="5.296875" style="76" customWidth="1"/>
    <col min="4" max="37" width="8.3984375" style="28" customWidth="1"/>
    <col min="38" max="16384" width="8.796875" style="28"/>
  </cols>
  <sheetData>
    <row r="1" spans="1:37" ht="42" customHeight="1" thickBot="1" x14ac:dyDescent="0.45">
      <c r="A1" s="154" t="s">
        <v>267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/>
      <c r="AC1" s="154"/>
      <c r="AD1" s="154"/>
      <c r="AE1" s="154"/>
      <c r="AF1" s="154"/>
      <c r="AG1" s="154"/>
      <c r="AH1" s="154"/>
      <c r="AI1" s="154"/>
      <c r="AJ1" s="154"/>
      <c r="AK1" s="154"/>
    </row>
    <row r="2" spans="1:37" ht="18" customHeight="1" x14ac:dyDescent="0.4">
      <c r="A2" s="155" t="s">
        <v>0</v>
      </c>
      <c r="B2" s="164" t="s">
        <v>510</v>
      </c>
      <c r="C2" s="162" t="s">
        <v>269</v>
      </c>
      <c r="D2" s="157" t="s">
        <v>1</v>
      </c>
      <c r="E2" s="158"/>
      <c r="F2" s="158"/>
      <c r="G2" s="158"/>
      <c r="H2" s="158"/>
      <c r="I2" s="159"/>
      <c r="J2" s="157" t="s">
        <v>2</v>
      </c>
      <c r="K2" s="158"/>
      <c r="L2" s="158"/>
      <c r="M2" s="158"/>
      <c r="N2" s="158"/>
      <c r="O2" s="158"/>
      <c r="P2" s="159"/>
      <c r="Q2" s="157" t="s">
        <v>3</v>
      </c>
      <c r="R2" s="158"/>
      <c r="S2" s="158"/>
      <c r="T2" s="158"/>
      <c r="U2" s="158"/>
      <c r="V2" s="158"/>
      <c r="W2" s="159"/>
      <c r="X2" s="157" t="s">
        <v>4</v>
      </c>
      <c r="Y2" s="158"/>
      <c r="Z2" s="158"/>
      <c r="AA2" s="158"/>
      <c r="AB2" s="158"/>
      <c r="AC2" s="158"/>
      <c r="AD2" s="160"/>
      <c r="AE2" s="161" t="s">
        <v>5</v>
      </c>
      <c r="AF2" s="158"/>
      <c r="AG2" s="158"/>
      <c r="AH2" s="158"/>
      <c r="AI2" s="158"/>
      <c r="AJ2" s="158"/>
      <c r="AK2" s="160"/>
    </row>
    <row r="3" spans="1:37" ht="18" customHeight="1" thickBot="1" x14ac:dyDescent="0.45">
      <c r="A3" s="156"/>
      <c r="B3" s="165"/>
      <c r="C3" s="163"/>
      <c r="D3" s="1">
        <v>1</v>
      </c>
      <c r="E3" s="2">
        <v>2</v>
      </c>
      <c r="F3" s="2">
        <v>3</v>
      </c>
      <c r="G3" s="2">
        <v>4</v>
      </c>
      <c r="H3" s="2">
        <v>5</v>
      </c>
      <c r="I3" s="3">
        <v>6</v>
      </c>
      <c r="J3" s="1">
        <v>1</v>
      </c>
      <c r="K3" s="2">
        <v>2</v>
      </c>
      <c r="L3" s="2">
        <v>3</v>
      </c>
      <c r="M3" s="2">
        <v>4</v>
      </c>
      <c r="N3" s="2">
        <v>5</v>
      </c>
      <c r="O3" s="2">
        <v>6</v>
      </c>
      <c r="P3" s="3">
        <v>7</v>
      </c>
      <c r="Q3" s="1">
        <v>1</v>
      </c>
      <c r="R3" s="2">
        <v>2</v>
      </c>
      <c r="S3" s="2">
        <v>3</v>
      </c>
      <c r="T3" s="2">
        <v>4</v>
      </c>
      <c r="U3" s="2">
        <v>5</v>
      </c>
      <c r="V3" s="24">
        <v>6</v>
      </c>
      <c r="W3" s="25">
        <v>7</v>
      </c>
      <c r="X3" s="1">
        <v>1</v>
      </c>
      <c r="Y3" s="2">
        <v>2</v>
      </c>
      <c r="Z3" s="2">
        <v>3</v>
      </c>
      <c r="AA3" s="2">
        <v>4</v>
      </c>
      <c r="AB3" s="2">
        <v>5</v>
      </c>
      <c r="AC3" s="2">
        <v>6</v>
      </c>
      <c r="AD3" s="4">
        <v>7</v>
      </c>
      <c r="AE3" s="5">
        <v>1</v>
      </c>
      <c r="AF3" s="2">
        <v>2</v>
      </c>
      <c r="AG3" s="2">
        <v>3</v>
      </c>
      <c r="AH3" s="2">
        <v>4</v>
      </c>
      <c r="AI3" s="2">
        <v>5</v>
      </c>
      <c r="AJ3" s="2">
        <v>6</v>
      </c>
      <c r="AK3" s="4">
        <v>7</v>
      </c>
    </row>
    <row r="4" spans="1:37" ht="40.200000000000003" customHeight="1" x14ac:dyDescent="0.4">
      <c r="A4" s="6" t="s">
        <v>506</v>
      </c>
      <c r="B4" s="6">
        <v>16</v>
      </c>
      <c r="C4" s="71" t="s">
        <v>271</v>
      </c>
      <c r="D4" s="7" t="s">
        <v>6</v>
      </c>
      <c r="E4" s="8"/>
      <c r="F4" s="8" t="s">
        <v>7</v>
      </c>
      <c r="G4" s="8"/>
      <c r="H4" s="8" t="s">
        <v>8</v>
      </c>
      <c r="I4" s="9" t="s">
        <v>9</v>
      </c>
      <c r="J4" s="7"/>
      <c r="K4" s="8"/>
      <c r="L4" s="8" t="s">
        <v>10</v>
      </c>
      <c r="M4" s="8" t="s">
        <v>11</v>
      </c>
      <c r="N4" s="8"/>
      <c r="O4" s="8" t="s">
        <v>8</v>
      </c>
      <c r="P4" s="9"/>
      <c r="Q4" s="7" t="s">
        <v>12</v>
      </c>
      <c r="R4" s="8"/>
      <c r="S4" s="8"/>
      <c r="T4" s="8"/>
      <c r="U4" s="8" t="s">
        <v>9</v>
      </c>
      <c r="V4" s="80" t="s">
        <v>563</v>
      </c>
      <c r="W4" s="10" t="s">
        <v>563</v>
      </c>
      <c r="X4" s="11"/>
      <c r="Y4" s="8" t="s">
        <v>13</v>
      </c>
      <c r="Z4" s="8"/>
      <c r="AA4" s="8"/>
      <c r="AB4" s="8" t="s">
        <v>6</v>
      </c>
      <c r="AC4" s="8" t="s">
        <v>10</v>
      </c>
      <c r="AD4" s="10"/>
      <c r="AE4" s="11" t="s">
        <v>13</v>
      </c>
      <c r="AF4" s="8"/>
      <c r="AG4" s="8" t="s">
        <v>7</v>
      </c>
      <c r="AH4" s="8"/>
      <c r="AI4" s="8" t="s">
        <v>11</v>
      </c>
      <c r="AJ4" s="8" t="s">
        <v>12</v>
      </c>
      <c r="AK4" s="10"/>
    </row>
    <row r="5" spans="1:37" ht="40.200000000000003" customHeight="1" x14ac:dyDescent="0.4">
      <c r="A5" s="12" t="s">
        <v>507</v>
      </c>
      <c r="B5" s="12">
        <v>16</v>
      </c>
      <c r="C5" s="72" t="s">
        <v>270</v>
      </c>
      <c r="D5" s="13" t="s">
        <v>11</v>
      </c>
      <c r="E5" s="14"/>
      <c r="F5" s="14"/>
      <c r="G5" s="14"/>
      <c r="H5" s="14" t="s">
        <v>13</v>
      </c>
      <c r="I5" s="15" t="s">
        <v>10</v>
      </c>
      <c r="J5" s="13" t="s">
        <v>12</v>
      </c>
      <c r="K5" s="14"/>
      <c r="L5" s="14" t="s">
        <v>7</v>
      </c>
      <c r="M5" s="14" t="s">
        <v>6</v>
      </c>
      <c r="N5" s="14"/>
      <c r="O5" s="14" t="s">
        <v>13</v>
      </c>
      <c r="P5" s="15"/>
      <c r="Q5" s="13"/>
      <c r="R5" s="14" t="s">
        <v>11</v>
      </c>
      <c r="S5" s="14" t="s">
        <v>8</v>
      </c>
      <c r="T5" s="14"/>
      <c r="U5" s="14"/>
      <c r="V5" s="14" t="s">
        <v>563</v>
      </c>
      <c r="W5" s="16" t="s">
        <v>563</v>
      </c>
      <c r="X5" s="17"/>
      <c r="Y5" s="14"/>
      <c r="Z5" s="14" t="s">
        <v>7</v>
      </c>
      <c r="AA5" s="14" t="s">
        <v>12</v>
      </c>
      <c r="AB5" s="14"/>
      <c r="AC5" s="14" t="s">
        <v>9</v>
      </c>
      <c r="AD5" s="16"/>
      <c r="AE5" s="17" t="s">
        <v>9</v>
      </c>
      <c r="AF5" s="14"/>
      <c r="AG5" s="14"/>
      <c r="AH5" s="14" t="s">
        <v>10</v>
      </c>
      <c r="AI5" s="14"/>
      <c r="AJ5" s="14" t="s">
        <v>6</v>
      </c>
      <c r="AK5" s="16" t="s">
        <v>8</v>
      </c>
    </row>
    <row r="6" spans="1:37" ht="40.200000000000003" customHeight="1" x14ac:dyDescent="0.4">
      <c r="A6" s="12" t="s">
        <v>509</v>
      </c>
      <c r="B6" s="12">
        <v>13</v>
      </c>
      <c r="C6" s="72" t="s">
        <v>272</v>
      </c>
      <c r="D6" s="13"/>
      <c r="E6" s="14"/>
      <c r="F6" s="14"/>
      <c r="G6" s="14" t="s">
        <v>14</v>
      </c>
      <c r="H6" s="14"/>
      <c r="I6" s="15" t="s">
        <v>15</v>
      </c>
      <c r="J6" s="13"/>
      <c r="K6" s="14" t="s">
        <v>15</v>
      </c>
      <c r="L6" s="14" t="s">
        <v>16</v>
      </c>
      <c r="M6" s="14"/>
      <c r="N6" s="14"/>
      <c r="O6" s="14" t="s">
        <v>17</v>
      </c>
      <c r="P6" s="15" t="s">
        <v>18</v>
      </c>
      <c r="Q6" s="61" t="s">
        <v>19</v>
      </c>
      <c r="R6" s="14" t="s">
        <v>20</v>
      </c>
      <c r="S6" s="14"/>
      <c r="T6" s="14"/>
      <c r="U6" s="14"/>
      <c r="V6" s="14" t="s">
        <v>563</v>
      </c>
      <c r="W6" s="16" t="s">
        <v>563</v>
      </c>
      <c r="X6" s="17" t="s">
        <v>14</v>
      </c>
      <c r="Y6" s="14"/>
      <c r="Z6" s="14"/>
      <c r="AA6" s="14" t="s">
        <v>21</v>
      </c>
      <c r="AB6" s="14"/>
      <c r="AC6" s="14" t="s">
        <v>22</v>
      </c>
      <c r="AD6" s="16"/>
      <c r="AE6" s="17"/>
      <c r="AF6" s="14"/>
      <c r="AG6" s="14"/>
      <c r="AH6" s="14" t="s">
        <v>18</v>
      </c>
      <c r="AI6" s="14"/>
      <c r="AJ6" s="14" t="s">
        <v>21</v>
      </c>
      <c r="AK6" s="16"/>
    </row>
    <row r="7" spans="1:37" ht="40.200000000000003" customHeight="1" x14ac:dyDescent="0.4">
      <c r="A7" s="12" t="s">
        <v>511</v>
      </c>
      <c r="B7" s="12">
        <v>13</v>
      </c>
      <c r="C7" s="72"/>
      <c r="D7" s="13"/>
      <c r="E7" s="14" t="s">
        <v>20</v>
      </c>
      <c r="F7" s="14" t="s">
        <v>21</v>
      </c>
      <c r="G7" s="14"/>
      <c r="H7" s="14" t="s">
        <v>16</v>
      </c>
      <c r="I7" s="15"/>
      <c r="J7" s="13"/>
      <c r="K7" s="14"/>
      <c r="L7" s="14"/>
      <c r="M7" s="14" t="s">
        <v>22</v>
      </c>
      <c r="N7" s="14"/>
      <c r="O7" s="14"/>
      <c r="P7" s="15" t="s">
        <v>14</v>
      </c>
      <c r="Q7" s="13"/>
      <c r="R7" s="14" t="s">
        <v>16</v>
      </c>
      <c r="S7" s="14" t="s">
        <v>17</v>
      </c>
      <c r="T7" s="14"/>
      <c r="U7" s="14"/>
      <c r="V7" s="14" t="s">
        <v>563</v>
      </c>
      <c r="W7" s="16" t="s">
        <v>563</v>
      </c>
      <c r="X7" s="17" t="s">
        <v>15</v>
      </c>
      <c r="Y7" s="14"/>
      <c r="Z7" s="14"/>
      <c r="AA7" s="14" t="s">
        <v>18</v>
      </c>
      <c r="AB7" s="14"/>
      <c r="AC7" s="14"/>
      <c r="AD7" s="16"/>
      <c r="AE7" s="17"/>
      <c r="AF7" s="14" t="s">
        <v>22</v>
      </c>
      <c r="AG7" s="68" t="s">
        <v>23</v>
      </c>
      <c r="AH7" s="14"/>
      <c r="AI7" s="14" t="s">
        <v>20</v>
      </c>
      <c r="AJ7" s="14" t="s">
        <v>17</v>
      </c>
      <c r="AK7" s="16"/>
    </row>
    <row r="8" spans="1:37" ht="40.200000000000003" customHeight="1" x14ac:dyDescent="0.4">
      <c r="A8" s="12" t="s">
        <v>512</v>
      </c>
      <c r="B8" s="12">
        <v>12</v>
      </c>
      <c r="C8" s="72"/>
      <c r="D8" s="13"/>
      <c r="E8" s="14" t="s">
        <v>18</v>
      </c>
      <c r="F8" s="14" t="s">
        <v>608</v>
      </c>
      <c r="G8" s="14"/>
      <c r="H8" s="14"/>
      <c r="I8" s="15"/>
      <c r="J8" s="13"/>
      <c r="K8" s="14"/>
      <c r="L8" s="59" t="s">
        <v>19</v>
      </c>
      <c r="M8" s="14"/>
      <c r="N8" s="68" t="s">
        <v>23</v>
      </c>
      <c r="O8" s="14"/>
      <c r="P8" s="15"/>
      <c r="Q8" s="13"/>
      <c r="R8" s="14"/>
      <c r="S8" s="14"/>
      <c r="T8" s="14" t="s">
        <v>21</v>
      </c>
      <c r="U8" s="14"/>
      <c r="V8" s="14" t="s">
        <v>563</v>
      </c>
      <c r="W8" s="16" t="s">
        <v>563</v>
      </c>
      <c r="X8" s="17" t="s">
        <v>17</v>
      </c>
      <c r="Y8" s="14"/>
      <c r="Z8" s="68" t="s">
        <v>23</v>
      </c>
      <c r="AA8" s="14" t="s">
        <v>20</v>
      </c>
      <c r="AB8" s="14"/>
      <c r="AC8" s="14"/>
      <c r="AD8" s="16"/>
      <c r="AE8" s="65" t="s">
        <v>19</v>
      </c>
      <c r="AF8" s="14"/>
      <c r="AG8" s="14"/>
      <c r="AH8" s="14" t="s">
        <v>14</v>
      </c>
      <c r="AI8" s="14" t="s">
        <v>16</v>
      </c>
      <c r="AJ8" s="14"/>
      <c r="AK8" s="16" t="s">
        <v>15</v>
      </c>
    </row>
    <row r="9" spans="1:37" ht="40.200000000000003" customHeight="1" x14ac:dyDescent="0.4">
      <c r="A9" s="77" t="s">
        <v>513</v>
      </c>
      <c r="B9" s="77">
        <v>16</v>
      </c>
      <c r="C9" s="78" t="s">
        <v>273</v>
      </c>
      <c r="D9" s="79"/>
      <c r="E9" s="80"/>
      <c r="F9" s="81" t="s">
        <v>24</v>
      </c>
      <c r="G9" s="82" t="s">
        <v>25</v>
      </c>
      <c r="H9" s="80"/>
      <c r="I9" s="83" t="s">
        <v>26</v>
      </c>
      <c r="J9" s="84" t="s">
        <v>24</v>
      </c>
      <c r="K9" s="85" t="s">
        <v>26</v>
      </c>
      <c r="L9" s="80"/>
      <c r="M9" s="82" t="s">
        <v>25</v>
      </c>
      <c r="N9" s="80"/>
      <c r="O9" s="86" t="s">
        <v>27</v>
      </c>
      <c r="P9" s="87" t="s">
        <v>583</v>
      </c>
      <c r="Q9" s="88" t="s">
        <v>26</v>
      </c>
      <c r="R9" s="82" t="s">
        <v>25</v>
      </c>
      <c r="S9" s="86" t="s">
        <v>27</v>
      </c>
      <c r="T9" s="80"/>
      <c r="U9" s="80" t="s">
        <v>583</v>
      </c>
      <c r="V9" s="14" t="s">
        <v>563</v>
      </c>
      <c r="W9" s="16" t="s">
        <v>563</v>
      </c>
      <c r="X9" s="90" t="s">
        <v>24</v>
      </c>
      <c r="Y9" s="85" t="s">
        <v>26</v>
      </c>
      <c r="Z9" s="80"/>
      <c r="AA9" s="80"/>
      <c r="AB9" s="86" t="s">
        <v>27</v>
      </c>
      <c r="AC9" s="80"/>
      <c r="AD9" s="89" t="s">
        <v>583</v>
      </c>
      <c r="AE9" s="90" t="s">
        <v>24</v>
      </c>
      <c r="AF9" s="82" t="s">
        <v>25</v>
      </c>
      <c r="AG9" s="80"/>
      <c r="AH9" s="80"/>
      <c r="AI9" s="86" t="s">
        <v>27</v>
      </c>
      <c r="AJ9" s="80"/>
      <c r="AK9" s="89"/>
    </row>
    <row r="10" spans="1:37" ht="40.200000000000003" customHeight="1" thickBot="1" x14ac:dyDescent="0.45">
      <c r="A10" s="22" t="s">
        <v>514</v>
      </c>
      <c r="B10" s="22">
        <v>16</v>
      </c>
      <c r="C10" s="74" t="s">
        <v>274</v>
      </c>
      <c r="D10" s="92" t="s">
        <v>28</v>
      </c>
      <c r="E10" s="24"/>
      <c r="F10" s="93" t="s">
        <v>29</v>
      </c>
      <c r="G10" s="94" t="s">
        <v>30</v>
      </c>
      <c r="H10" s="24"/>
      <c r="I10" s="25"/>
      <c r="J10" s="95" t="s">
        <v>29</v>
      </c>
      <c r="K10" s="24"/>
      <c r="L10" s="24"/>
      <c r="M10" s="94" t="s">
        <v>30</v>
      </c>
      <c r="N10" s="24"/>
      <c r="O10" s="96" t="s">
        <v>31</v>
      </c>
      <c r="P10" s="26" t="s">
        <v>583</v>
      </c>
      <c r="Q10" s="23"/>
      <c r="R10" s="94" t="s">
        <v>30</v>
      </c>
      <c r="S10" s="96" t="s">
        <v>31</v>
      </c>
      <c r="T10" s="97" t="s">
        <v>28</v>
      </c>
      <c r="U10" s="24" t="s">
        <v>583</v>
      </c>
      <c r="V10" s="24" t="s">
        <v>563</v>
      </c>
      <c r="W10" s="26" t="s">
        <v>563</v>
      </c>
      <c r="X10" s="98" t="s">
        <v>29</v>
      </c>
      <c r="Y10" s="24"/>
      <c r="Z10" s="24"/>
      <c r="AA10" s="24"/>
      <c r="AB10" s="96" t="s">
        <v>31</v>
      </c>
      <c r="AC10" s="97" t="s">
        <v>28</v>
      </c>
      <c r="AD10" s="26" t="s">
        <v>583</v>
      </c>
      <c r="AE10" s="98" t="s">
        <v>29</v>
      </c>
      <c r="AF10" s="94" t="s">
        <v>30</v>
      </c>
      <c r="AG10" s="24"/>
      <c r="AH10" s="24"/>
      <c r="AI10" s="96" t="s">
        <v>31</v>
      </c>
      <c r="AJ10" s="97" t="s">
        <v>28</v>
      </c>
      <c r="AK10" s="26"/>
    </row>
    <row r="11" spans="1:37" ht="40.200000000000003" customHeight="1" x14ac:dyDescent="0.4">
      <c r="A11" s="77" t="s">
        <v>515</v>
      </c>
      <c r="B11" s="77">
        <v>14</v>
      </c>
      <c r="C11" s="78" t="s">
        <v>275</v>
      </c>
      <c r="D11" s="79"/>
      <c r="E11" s="80" t="s">
        <v>32</v>
      </c>
      <c r="F11" s="80"/>
      <c r="G11" s="80" t="s">
        <v>33</v>
      </c>
      <c r="H11" s="80" t="s">
        <v>34</v>
      </c>
      <c r="I11" s="87"/>
      <c r="J11" s="79" t="s">
        <v>35</v>
      </c>
      <c r="K11" s="80" t="s">
        <v>36</v>
      </c>
      <c r="L11" s="80"/>
      <c r="M11" s="80" t="s">
        <v>37</v>
      </c>
      <c r="N11" s="80"/>
      <c r="O11" s="80"/>
      <c r="P11" s="87"/>
      <c r="Q11" s="79" t="s">
        <v>38</v>
      </c>
      <c r="R11" s="80"/>
      <c r="S11" s="80"/>
      <c r="T11" s="80"/>
      <c r="U11" s="80" t="s">
        <v>34</v>
      </c>
      <c r="V11" s="80" t="s">
        <v>563</v>
      </c>
      <c r="W11" s="89" t="s">
        <v>563</v>
      </c>
      <c r="X11" s="91"/>
      <c r="Y11" s="80"/>
      <c r="Z11" s="80" t="s">
        <v>38</v>
      </c>
      <c r="AA11" s="80"/>
      <c r="AB11" s="80" t="s">
        <v>33</v>
      </c>
      <c r="AC11" s="80"/>
      <c r="AD11" s="89" t="s">
        <v>36</v>
      </c>
      <c r="AE11" s="91"/>
      <c r="AF11" s="80" t="s">
        <v>32</v>
      </c>
      <c r="AG11" s="80"/>
      <c r="AH11" s="80"/>
      <c r="AI11" s="80" t="s">
        <v>35</v>
      </c>
      <c r="AJ11" s="80" t="s">
        <v>37</v>
      </c>
      <c r="AK11" s="89"/>
    </row>
    <row r="12" spans="1:37" ht="40.200000000000003" customHeight="1" x14ac:dyDescent="0.4">
      <c r="A12" s="12" t="s">
        <v>516</v>
      </c>
      <c r="B12" s="12">
        <v>14</v>
      </c>
      <c r="C12" s="72"/>
      <c r="D12" s="13" t="s">
        <v>38</v>
      </c>
      <c r="E12" s="14" t="s">
        <v>35</v>
      </c>
      <c r="F12" s="14"/>
      <c r="G12" s="14"/>
      <c r="H12" s="14" t="s">
        <v>37</v>
      </c>
      <c r="I12" s="15"/>
      <c r="J12" s="13"/>
      <c r="K12" s="14"/>
      <c r="L12" s="14" t="s">
        <v>34</v>
      </c>
      <c r="M12" s="14"/>
      <c r="N12" s="14" t="s">
        <v>32</v>
      </c>
      <c r="O12" s="14"/>
      <c r="P12" s="15" t="s">
        <v>33</v>
      </c>
      <c r="Q12" s="13"/>
      <c r="R12" s="14" t="s">
        <v>36</v>
      </c>
      <c r="S12" s="14"/>
      <c r="T12" s="14"/>
      <c r="U12" s="14" t="s">
        <v>33</v>
      </c>
      <c r="V12" s="14" t="s">
        <v>563</v>
      </c>
      <c r="W12" s="16" t="s">
        <v>563</v>
      </c>
      <c r="X12" s="17"/>
      <c r="Y12" s="14"/>
      <c r="Z12" s="14" t="s">
        <v>35</v>
      </c>
      <c r="AA12" s="14"/>
      <c r="AB12" s="14" t="s">
        <v>32</v>
      </c>
      <c r="AC12" s="14"/>
      <c r="AD12" s="16" t="s">
        <v>37</v>
      </c>
      <c r="AE12" s="17"/>
      <c r="AF12" s="14"/>
      <c r="AG12" s="14" t="s">
        <v>34</v>
      </c>
      <c r="AH12" s="14"/>
      <c r="AI12" s="14" t="s">
        <v>38</v>
      </c>
      <c r="AJ12" s="14" t="s">
        <v>36</v>
      </c>
      <c r="AK12" s="16"/>
    </row>
    <row r="13" spans="1:37" ht="40.200000000000003" customHeight="1" x14ac:dyDescent="0.4">
      <c r="A13" s="12" t="s">
        <v>517</v>
      </c>
      <c r="B13" s="12">
        <v>15</v>
      </c>
      <c r="C13" s="72" t="s">
        <v>276</v>
      </c>
      <c r="D13" s="13" t="s">
        <v>39</v>
      </c>
      <c r="E13" s="14" t="s">
        <v>40</v>
      </c>
      <c r="F13" s="14"/>
      <c r="G13" s="14" t="s">
        <v>41</v>
      </c>
      <c r="H13" s="14"/>
      <c r="I13" s="15" t="s">
        <v>42</v>
      </c>
      <c r="J13" s="13"/>
      <c r="K13" s="14" t="s">
        <v>39</v>
      </c>
      <c r="L13" s="14"/>
      <c r="M13" s="14"/>
      <c r="N13" s="14"/>
      <c r="O13" s="14" t="s">
        <v>41</v>
      </c>
      <c r="P13" s="15" t="s">
        <v>43</v>
      </c>
      <c r="Q13" s="13"/>
      <c r="R13" s="14" t="s">
        <v>43</v>
      </c>
      <c r="S13" s="14"/>
      <c r="T13" s="14"/>
      <c r="U13" s="14"/>
      <c r="V13" s="14" t="s">
        <v>563</v>
      </c>
      <c r="W13" s="16" t="s">
        <v>563</v>
      </c>
      <c r="X13" s="17" t="s">
        <v>43</v>
      </c>
      <c r="Y13" s="14" t="s">
        <v>40</v>
      </c>
      <c r="Z13" s="14"/>
      <c r="AA13" s="14"/>
      <c r="AB13" s="14"/>
      <c r="AC13" s="14" t="s">
        <v>42</v>
      </c>
      <c r="AD13" s="16"/>
      <c r="AE13" s="17"/>
      <c r="AF13" s="14" t="s">
        <v>39</v>
      </c>
      <c r="AG13" s="14"/>
      <c r="AH13" s="14" t="s">
        <v>40</v>
      </c>
      <c r="AI13" s="14" t="s">
        <v>41</v>
      </c>
      <c r="AJ13" s="14"/>
      <c r="AK13" s="16" t="s">
        <v>42</v>
      </c>
    </row>
    <row r="14" spans="1:37" ht="40.200000000000003" customHeight="1" x14ac:dyDescent="0.4">
      <c r="A14" s="77" t="s">
        <v>518</v>
      </c>
      <c r="B14" s="77">
        <v>14</v>
      </c>
      <c r="C14" s="78"/>
      <c r="D14" s="79"/>
      <c r="E14" s="80" t="s">
        <v>44</v>
      </c>
      <c r="F14" s="80" t="s">
        <v>45</v>
      </c>
      <c r="G14" s="80"/>
      <c r="H14" s="99" t="s">
        <v>604</v>
      </c>
      <c r="I14" s="87"/>
      <c r="J14" s="100" t="s">
        <v>605</v>
      </c>
      <c r="K14" s="101"/>
      <c r="L14" s="80"/>
      <c r="M14" s="80"/>
      <c r="N14" s="80" t="s">
        <v>44</v>
      </c>
      <c r="O14" s="80" t="s">
        <v>46</v>
      </c>
      <c r="P14" s="87"/>
      <c r="Q14" s="79"/>
      <c r="R14" s="80" t="s">
        <v>40</v>
      </c>
      <c r="S14" s="80" t="s">
        <v>42</v>
      </c>
      <c r="T14" s="80"/>
      <c r="U14" s="80"/>
      <c r="V14" s="14" t="s">
        <v>563</v>
      </c>
      <c r="W14" s="16" t="s">
        <v>563</v>
      </c>
      <c r="X14" s="91" t="s">
        <v>39</v>
      </c>
      <c r="Y14" s="80" t="s">
        <v>44</v>
      </c>
      <c r="Z14" s="80"/>
      <c r="AA14" s="80"/>
      <c r="AB14" s="99" t="s">
        <v>604</v>
      </c>
      <c r="AC14" s="80"/>
      <c r="AD14" s="89" t="s">
        <v>41</v>
      </c>
      <c r="AE14" s="91"/>
      <c r="AF14" s="80" t="s">
        <v>44</v>
      </c>
      <c r="AG14" s="80"/>
      <c r="AH14" s="80"/>
      <c r="AI14" s="80" t="s">
        <v>43</v>
      </c>
      <c r="AJ14" s="80"/>
      <c r="AK14" s="89"/>
    </row>
    <row r="15" spans="1:37" ht="40.200000000000003" customHeight="1" x14ac:dyDescent="0.4">
      <c r="A15" s="12" t="s">
        <v>508</v>
      </c>
      <c r="B15" s="12">
        <v>15</v>
      </c>
      <c r="C15" s="72"/>
      <c r="D15" s="13"/>
      <c r="E15" s="14" t="s">
        <v>47</v>
      </c>
      <c r="F15" s="14" t="s">
        <v>46</v>
      </c>
      <c r="G15" s="14"/>
      <c r="H15" s="14" t="s">
        <v>48</v>
      </c>
      <c r="I15" s="15"/>
      <c r="J15" s="37" t="s">
        <v>569</v>
      </c>
      <c r="K15" s="14"/>
      <c r="L15" s="14" t="s">
        <v>49</v>
      </c>
      <c r="M15" s="14"/>
      <c r="N15" s="14"/>
      <c r="O15" s="48" t="s">
        <v>578</v>
      </c>
      <c r="P15" s="87" t="s">
        <v>583</v>
      </c>
      <c r="Q15" s="13"/>
      <c r="R15" s="14" t="s">
        <v>46</v>
      </c>
      <c r="S15" s="14"/>
      <c r="T15" s="14" t="s">
        <v>45</v>
      </c>
      <c r="U15" s="80" t="s">
        <v>583</v>
      </c>
      <c r="V15" s="14" t="s">
        <v>563</v>
      </c>
      <c r="W15" s="16" t="s">
        <v>563</v>
      </c>
      <c r="X15" s="17"/>
      <c r="Y15" s="14" t="s">
        <v>45</v>
      </c>
      <c r="Z15" s="14" t="s">
        <v>50</v>
      </c>
      <c r="AA15" s="14"/>
      <c r="AB15" s="48" t="s">
        <v>578</v>
      </c>
      <c r="AC15" s="14"/>
      <c r="AD15" s="89" t="s">
        <v>583</v>
      </c>
      <c r="AE15" s="38" t="s">
        <v>569</v>
      </c>
      <c r="AF15" s="14" t="s">
        <v>45</v>
      </c>
      <c r="AG15" s="14"/>
      <c r="AH15" s="50" t="s">
        <v>51</v>
      </c>
      <c r="AI15" s="14" t="s">
        <v>46</v>
      </c>
      <c r="AJ15" s="14"/>
      <c r="AK15" s="16"/>
    </row>
    <row r="16" spans="1:37" ht="40.200000000000003" customHeight="1" x14ac:dyDescent="0.4">
      <c r="A16" s="12" t="s">
        <v>519</v>
      </c>
      <c r="B16" s="12">
        <v>13</v>
      </c>
      <c r="C16" s="72"/>
      <c r="D16" s="13"/>
      <c r="E16" s="14"/>
      <c r="F16" s="36" t="s">
        <v>569</v>
      </c>
      <c r="G16" s="14"/>
      <c r="H16" s="55" t="s">
        <v>52</v>
      </c>
      <c r="I16" s="15"/>
      <c r="J16" s="56" t="s">
        <v>52</v>
      </c>
      <c r="K16" s="14"/>
      <c r="L16" s="59" t="s">
        <v>565</v>
      </c>
      <c r="M16" s="14"/>
      <c r="N16" s="68" t="s">
        <v>53</v>
      </c>
      <c r="O16" s="14"/>
      <c r="P16" s="87" t="s">
        <v>583</v>
      </c>
      <c r="Q16" s="61" t="s">
        <v>565</v>
      </c>
      <c r="R16" s="14"/>
      <c r="S16" s="48" t="s">
        <v>578</v>
      </c>
      <c r="T16" s="14"/>
      <c r="U16" s="80" t="s">
        <v>583</v>
      </c>
      <c r="V16" s="14" t="s">
        <v>563</v>
      </c>
      <c r="W16" s="16" t="s">
        <v>563</v>
      </c>
      <c r="X16" s="38" t="s">
        <v>569</v>
      </c>
      <c r="Y16" s="14"/>
      <c r="Z16" s="68" t="s">
        <v>53</v>
      </c>
      <c r="AA16" s="14"/>
      <c r="AB16" s="55" t="s">
        <v>52</v>
      </c>
      <c r="AC16" s="14"/>
      <c r="AD16" s="89" t="s">
        <v>583</v>
      </c>
      <c r="AE16" s="65" t="s">
        <v>565</v>
      </c>
      <c r="AF16" s="14"/>
      <c r="AG16" s="68" t="s">
        <v>53</v>
      </c>
      <c r="AH16" s="14"/>
      <c r="AI16" s="48" t="s">
        <v>578</v>
      </c>
      <c r="AJ16" s="14"/>
      <c r="AK16" s="16"/>
    </row>
    <row r="17" spans="1:37" ht="40.200000000000003" customHeight="1" x14ac:dyDescent="0.4">
      <c r="A17" s="12" t="s">
        <v>520</v>
      </c>
      <c r="B17" s="12">
        <v>13</v>
      </c>
      <c r="C17" s="72"/>
      <c r="D17" s="13"/>
      <c r="E17" s="14"/>
      <c r="F17" s="36" t="s">
        <v>54</v>
      </c>
      <c r="G17" s="14" t="s">
        <v>55</v>
      </c>
      <c r="H17" s="14"/>
      <c r="I17" s="40" t="s">
        <v>56</v>
      </c>
      <c r="J17" s="37" t="s">
        <v>54</v>
      </c>
      <c r="K17" s="43" t="s">
        <v>56</v>
      </c>
      <c r="L17" s="14"/>
      <c r="M17" s="14"/>
      <c r="N17" s="14" t="s">
        <v>57</v>
      </c>
      <c r="O17" s="14"/>
      <c r="P17" s="87" t="s">
        <v>583</v>
      </c>
      <c r="Q17" s="46" t="s">
        <v>56</v>
      </c>
      <c r="R17" s="14"/>
      <c r="S17" s="14" t="s">
        <v>55</v>
      </c>
      <c r="T17" s="14"/>
      <c r="U17" s="80" t="s">
        <v>583</v>
      </c>
      <c r="V17" s="14" t="s">
        <v>563</v>
      </c>
      <c r="W17" s="16" t="s">
        <v>563</v>
      </c>
      <c r="X17" s="38" t="s">
        <v>54</v>
      </c>
      <c r="Y17" s="43" t="s">
        <v>56</v>
      </c>
      <c r="Z17" s="14"/>
      <c r="AA17" s="14"/>
      <c r="AB17" s="14" t="s">
        <v>55</v>
      </c>
      <c r="AC17" s="14"/>
      <c r="AD17" s="89" t="s">
        <v>583</v>
      </c>
      <c r="AE17" s="38" t="s">
        <v>54</v>
      </c>
      <c r="AF17" s="14"/>
      <c r="AG17" s="14"/>
      <c r="AH17" s="14" t="s">
        <v>55</v>
      </c>
      <c r="AI17" s="14"/>
      <c r="AJ17" s="14"/>
      <c r="AK17" s="16"/>
    </row>
    <row r="18" spans="1:37" ht="40.200000000000003" customHeight="1" thickBot="1" x14ac:dyDescent="0.45">
      <c r="A18" s="19" t="s">
        <v>521</v>
      </c>
      <c r="B18" s="19">
        <v>16</v>
      </c>
      <c r="C18" s="73" t="s">
        <v>277</v>
      </c>
      <c r="D18" s="33" t="s">
        <v>58</v>
      </c>
      <c r="E18" s="2"/>
      <c r="F18" s="2"/>
      <c r="G18" s="20" t="s">
        <v>59</v>
      </c>
      <c r="H18" s="2"/>
      <c r="I18" s="41" t="s">
        <v>60</v>
      </c>
      <c r="J18" s="1"/>
      <c r="K18" s="42" t="s">
        <v>60</v>
      </c>
      <c r="L18" s="2"/>
      <c r="M18" s="20" t="s">
        <v>59</v>
      </c>
      <c r="N18" s="67" t="s">
        <v>61</v>
      </c>
      <c r="O18" s="2"/>
      <c r="P18" s="87" t="s">
        <v>583</v>
      </c>
      <c r="Q18" s="47" t="s">
        <v>60</v>
      </c>
      <c r="R18" s="20" t="s">
        <v>59</v>
      </c>
      <c r="S18" s="2"/>
      <c r="T18" s="35" t="s">
        <v>58</v>
      </c>
      <c r="U18" s="80" t="s">
        <v>583</v>
      </c>
      <c r="V18" s="24" t="s">
        <v>563</v>
      </c>
      <c r="W18" s="26" t="s">
        <v>563</v>
      </c>
      <c r="X18" s="5"/>
      <c r="Y18" s="42" t="s">
        <v>60</v>
      </c>
      <c r="Z18" s="67" t="s">
        <v>61</v>
      </c>
      <c r="AA18" s="2"/>
      <c r="AB18" s="2"/>
      <c r="AC18" s="35" t="s">
        <v>58</v>
      </c>
      <c r="AD18" s="89" t="s">
        <v>583</v>
      </c>
      <c r="AE18" s="5"/>
      <c r="AF18" s="20" t="s">
        <v>59</v>
      </c>
      <c r="AG18" s="67" t="s">
        <v>61</v>
      </c>
      <c r="AH18" s="51" t="s">
        <v>62</v>
      </c>
      <c r="AI18" s="2"/>
      <c r="AJ18" s="35" t="s">
        <v>58</v>
      </c>
      <c r="AK18" s="4"/>
    </row>
    <row r="19" spans="1:37" ht="40.200000000000003" customHeight="1" x14ac:dyDescent="0.4">
      <c r="A19" s="6" t="s">
        <v>522</v>
      </c>
      <c r="B19" s="6">
        <v>15</v>
      </c>
      <c r="C19" s="71" t="s">
        <v>278</v>
      </c>
      <c r="D19" s="7"/>
      <c r="E19" s="8" t="s">
        <v>63</v>
      </c>
      <c r="F19" s="8"/>
      <c r="G19" s="8"/>
      <c r="H19" s="8" t="s">
        <v>64</v>
      </c>
      <c r="I19" s="9" t="s">
        <v>65</v>
      </c>
      <c r="J19" s="7"/>
      <c r="K19" s="8" t="s">
        <v>66</v>
      </c>
      <c r="L19" s="8"/>
      <c r="M19" s="8"/>
      <c r="N19" s="8"/>
      <c r="O19" s="8" t="s">
        <v>67</v>
      </c>
      <c r="P19" s="9"/>
      <c r="Q19" s="7" t="s">
        <v>67</v>
      </c>
      <c r="R19" s="8" t="s">
        <v>68</v>
      </c>
      <c r="S19" s="8"/>
      <c r="T19" s="8" t="s">
        <v>69</v>
      </c>
      <c r="U19" s="8"/>
      <c r="V19" s="80" t="s">
        <v>563</v>
      </c>
      <c r="W19" s="89" t="s">
        <v>563</v>
      </c>
      <c r="X19" s="11" t="s">
        <v>70</v>
      </c>
      <c r="Y19" s="8"/>
      <c r="Z19" s="8"/>
      <c r="AA19" s="8" t="s">
        <v>65</v>
      </c>
      <c r="AB19" s="8" t="s">
        <v>69</v>
      </c>
      <c r="AC19" s="8"/>
      <c r="AD19" s="10"/>
      <c r="AE19" s="11" t="s">
        <v>66</v>
      </c>
      <c r="AF19" s="8"/>
      <c r="AG19" s="8" t="s">
        <v>63</v>
      </c>
      <c r="AH19" s="8" t="s">
        <v>70</v>
      </c>
      <c r="AI19" s="8"/>
      <c r="AJ19" s="8" t="s">
        <v>64</v>
      </c>
      <c r="AK19" s="10"/>
    </row>
    <row r="20" spans="1:37" ht="40.200000000000003" customHeight="1" x14ac:dyDescent="0.4">
      <c r="A20" s="12" t="s">
        <v>523</v>
      </c>
      <c r="B20" s="12">
        <v>15</v>
      </c>
      <c r="C20" s="72"/>
      <c r="D20" s="13"/>
      <c r="E20" s="14" t="s">
        <v>69</v>
      </c>
      <c r="F20" s="14"/>
      <c r="G20" s="14"/>
      <c r="H20" s="14" t="s">
        <v>68</v>
      </c>
      <c r="I20" s="15"/>
      <c r="J20" s="13"/>
      <c r="K20" s="14" t="s">
        <v>64</v>
      </c>
      <c r="L20" s="14" t="s">
        <v>71</v>
      </c>
      <c r="M20" s="14"/>
      <c r="N20" s="14" t="s">
        <v>70</v>
      </c>
      <c r="O20" s="14" t="s">
        <v>68</v>
      </c>
      <c r="P20" s="87" t="s">
        <v>583</v>
      </c>
      <c r="Q20" s="13" t="s">
        <v>63</v>
      </c>
      <c r="R20" s="18" t="s">
        <v>72</v>
      </c>
      <c r="S20" s="14"/>
      <c r="T20" s="14"/>
      <c r="U20" s="14" t="s">
        <v>65</v>
      </c>
      <c r="V20" s="14" t="s">
        <v>563</v>
      </c>
      <c r="W20" s="16" t="s">
        <v>563</v>
      </c>
      <c r="X20" s="17"/>
      <c r="Y20" s="14" t="s">
        <v>68</v>
      </c>
      <c r="Z20" s="14"/>
      <c r="AA20" s="14" t="s">
        <v>67</v>
      </c>
      <c r="AB20" s="14"/>
      <c r="AC20" s="14" t="s">
        <v>66</v>
      </c>
      <c r="AD20" s="89" t="s">
        <v>583</v>
      </c>
      <c r="AE20" s="38" t="s">
        <v>73</v>
      </c>
      <c r="AF20" s="14"/>
      <c r="AG20" s="14"/>
      <c r="AH20" s="50" t="s">
        <v>74</v>
      </c>
      <c r="AI20" s="14"/>
      <c r="AJ20" s="14"/>
      <c r="AK20" s="16" t="s">
        <v>75</v>
      </c>
    </row>
    <row r="21" spans="1:37" ht="40.200000000000003" customHeight="1" x14ac:dyDescent="0.4">
      <c r="A21" s="12" t="s">
        <v>524</v>
      </c>
      <c r="B21" s="12">
        <v>15</v>
      </c>
      <c r="C21" s="72"/>
      <c r="D21" s="13"/>
      <c r="E21" s="14" t="s">
        <v>70</v>
      </c>
      <c r="F21" s="14"/>
      <c r="G21" s="14" t="s">
        <v>76</v>
      </c>
      <c r="H21" s="14"/>
      <c r="I21" s="15" t="s">
        <v>77</v>
      </c>
      <c r="J21" s="13"/>
      <c r="K21" s="14" t="s">
        <v>78</v>
      </c>
      <c r="L21" s="14"/>
      <c r="M21" s="14" t="s">
        <v>79</v>
      </c>
      <c r="N21" s="14"/>
      <c r="O21" s="14" t="s">
        <v>80</v>
      </c>
      <c r="P21" s="15"/>
      <c r="Q21" s="13"/>
      <c r="R21" s="14" t="s">
        <v>81</v>
      </c>
      <c r="S21" s="14"/>
      <c r="T21" s="14"/>
      <c r="U21" s="14" t="s">
        <v>66</v>
      </c>
      <c r="V21" s="14" t="s">
        <v>563</v>
      </c>
      <c r="W21" s="16" t="s">
        <v>563</v>
      </c>
      <c r="X21" s="17" t="s">
        <v>64</v>
      </c>
      <c r="Y21" s="14"/>
      <c r="Z21" s="14" t="s">
        <v>63</v>
      </c>
      <c r="AA21" s="14"/>
      <c r="AB21" s="14"/>
      <c r="AC21" s="14"/>
      <c r="AD21" s="16" t="s">
        <v>82</v>
      </c>
      <c r="AE21" s="17" t="s">
        <v>69</v>
      </c>
      <c r="AF21" s="14" t="s">
        <v>67</v>
      </c>
      <c r="AG21" s="14"/>
      <c r="AH21" s="50" t="s">
        <v>83</v>
      </c>
      <c r="AI21" s="14"/>
      <c r="AJ21" s="14" t="s">
        <v>65</v>
      </c>
      <c r="AK21" s="16"/>
    </row>
    <row r="22" spans="1:37" ht="40.200000000000003" customHeight="1" x14ac:dyDescent="0.4">
      <c r="A22" s="12" t="s">
        <v>525</v>
      </c>
      <c r="B22" s="12">
        <v>15</v>
      </c>
      <c r="C22" s="72" t="s">
        <v>279</v>
      </c>
      <c r="D22" s="13" t="s">
        <v>78</v>
      </c>
      <c r="E22" s="14"/>
      <c r="F22" s="14" t="s">
        <v>609</v>
      </c>
      <c r="G22" s="14" t="s">
        <v>610</v>
      </c>
      <c r="H22" s="14"/>
      <c r="I22" s="15" t="s">
        <v>80</v>
      </c>
      <c r="J22" s="13"/>
      <c r="K22" s="14"/>
      <c r="L22" s="14"/>
      <c r="M22" s="14" t="s">
        <v>76</v>
      </c>
      <c r="N22" s="14"/>
      <c r="O22" s="14" t="s">
        <v>82</v>
      </c>
      <c r="P22" s="15"/>
      <c r="Q22" s="13"/>
      <c r="R22" s="14"/>
      <c r="S22" s="14" t="s">
        <v>82</v>
      </c>
      <c r="T22" s="14" t="s">
        <v>79</v>
      </c>
      <c r="U22" s="14"/>
      <c r="V22" s="14" t="s">
        <v>563</v>
      </c>
      <c r="W22" s="16" t="s">
        <v>563</v>
      </c>
      <c r="X22" s="17" t="s">
        <v>78</v>
      </c>
      <c r="Y22" s="14"/>
      <c r="Z22" s="14"/>
      <c r="AA22" s="14"/>
      <c r="AB22" s="14"/>
      <c r="AC22" s="14" t="s">
        <v>77</v>
      </c>
      <c r="AD22" s="16" t="s">
        <v>80</v>
      </c>
      <c r="AE22" s="17"/>
      <c r="AF22" s="14"/>
      <c r="AG22" s="14" t="s">
        <v>84</v>
      </c>
      <c r="AH22" s="14" t="s">
        <v>77</v>
      </c>
      <c r="AI22" s="14"/>
      <c r="AJ22" s="14" t="s">
        <v>76</v>
      </c>
      <c r="AK22" s="16" t="s">
        <v>81</v>
      </c>
    </row>
    <row r="23" spans="1:37" ht="40.200000000000003" customHeight="1" x14ac:dyDescent="0.4">
      <c r="A23" s="12" t="s">
        <v>526</v>
      </c>
      <c r="B23" s="12">
        <v>16</v>
      </c>
      <c r="C23" s="72"/>
      <c r="D23" s="32" t="s">
        <v>85</v>
      </c>
      <c r="E23" s="14"/>
      <c r="F23" s="14"/>
      <c r="G23" s="14"/>
      <c r="H23" s="14" t="s">
        <v>49</v>
      </c>
      <c r="I23" s="15"/>
      <c r="J23" s="13" t="s">
        <v>86</v>
      </c>
      <c r="K23" s="43" t="s">
        <v>87</v>
      </c>
      <c r="L23" s="14"/>
      <c r="M23" s="14" t="s">
        <v>84</v>
      </c>
      <c r="N23" s="14"/>
      <c r="O23" s="48" t="s">
        <v>88</v>
      </c>
      <c r="P23" s="87" t="s">
        <v>583</v>
      </c>
      <c r="Q23" s="13"/>
      <c r="R23" s="14"/>
      <c r="S23" s="14" t="s">
        <v>77</v>
      </c>
      <c r="T23" s="14" t="s">
        <v>84</v>
      </c>
      <c r="U23" s="80" t="s">
        <v>583</v>
      </c>
      <c r="V23" s="14" t="s">
        <v>563</v>
      </c>
      <c r="W23" s="16" t="s">
        <v>563</v>
      </c>
      <c r="X23" s="17" t="s">
        <v>84</v>
      </c>
      <c r="Y23" s="14"/>
      <c r="Z23" s="14"/>
      <c r="AA23" s="14" t="s">
        <v>79</v>
      </c>
      <c r="AB23" s="14"/>
      <c r="AC23" s="14" t="s">
        <v>81</v>
      </c>
      <c r="AD23" s="16" t="s">
        <v>76</v>
      </c>
      <c r="AE23" s="17"/>
      <c r="AF23" s="14" t="s">
        <v>78</v>
      </c>
      <c r="AG23" s="14"/>
      <c r="AH23" s="50" t="s">
        <v>582</v>
      </c>
      <c r="AI23" s="14"/>
      <c r="AJ23" s="14" t="s">
        <v>82</v>
      </c>
      <c r="AK23" s="16" t="s">
        <v>80</v>
      </c>
    </row>
    <row r="24" spans="1:37" ht="40.200000000000003" customHeight="1" thickBot="1" x14ac:dyDescent="0.45">
      <c r="A24" s="22" t="s">
        <v>527</v>
      </c>
      <c r="B24" s="22">
        <v>16</v>
      </c>
      <c r="C24" s="74" t="s">
        <v>280</v>
      </c>
      <c r="D24" s="23"/>
      <c r="E24" s="24"/>
      <c r="F24" s="93" t="s">
        <v>73</v>
      </c>
      <c r="G24" s="94" t="s">
        <v>72</v>
      </c>
      <c r="H24" s="24"/>
      <c r="I24" s="107" t="s">
        <v>87</v>
      </c>
      <c r="J24" s="95" t="s">
        <v>73</v>
      </c>
      <c r="K24" s="24"/>
      <c r="L24" s="24"/>
      <c r="M24" s="94" t="s">
        <v>72</v>
      </c>
      <c r="N24" s="24"/>
      <c r="O24" s="24"/>
      <c r="P24" s="26" t="s">
        <v>583</v>
      </c>
      <c r="Q24" s="108" t="s">
        <v>87</v>
      </c>
      <c r="R24" s="24"/>
      <c r="S24" s="96" t="s">
        <v>88</v>
      </c>
      <c r="T24" s="97" t="s">
        <v>85</v>
      </c>
      <c r="U24" s="24" t="s">
        <v>583</v>
      </c>
      <c r="V24" s="24" t="s">
        <v>563</v>
      </c>
      <c r="W24" s="26" t="s">
        <v>563</v>
      </c>
      <c r="X24" s="98" t="s">
        <v>73</v>
      </c>
      <c r="Y24" s="109" t="s">
        <v>87</v>
      </c>
      <c r="Z24" s="24"/>
      <c r="AA24" s="24"/>
      <c r="AB24" s="96" t="s">
        <v>88</v>
      </c>
      <c r="AC24" s="97" t="s">
        <v>85</v>
      </c>
      <c r="AD24" s="26" t="s">
        <v>583</v>
      </c>
      <c r="AE24" s="27"/>
      <c r="AF24" s="94" t="s">
        <v>72</v>
      </c>
      <c r="AG24" s="24"/>
      <c r="AH24" s="110" t="s">
        <v>573</v>
      </c>
      <c r="AI24" s="96" t="s">
        <v>88</v>
      </c>
      <c r="AJ24" s="97" t="s">
        <v>85</v>
      </c>
      <c r="AK24" s="26"/>
    </row>
    <row r="25" spans="1:37" ht="40.200000000000003" customHeight="1" x14ac:dyDescent="0.4">
      <c r="A25" s="77" t="s">
        <v>528</v>
      </c>
      <c r="B25" s="77">
        <v>16</v>
      </c>
      <c r="C25" s="78" t="s">
        <v>281</v>
      </c>
      <c r="D25" s="79"/>
      <c r="E25" s="80"/>
      <c r="F25" s="80" t="s">
        <v>89</v>
      </c>
      <c r="G25" s="80"/>
      <c r="H25" s="99" t="s">
        <v>90</v>
      </c>
      <c r="I25" s="87"/>
      <c r="J25" s="100" t="s">
        <v>90</v>
      </c>
      <c r="K25" s="80"/>
      <c r="L25" s="103" t="s">
        <v>91</v>
      </c>
      <c r="M25" s="80"/>
      <c r="N25" s="104" t="s">
        <v>92</v>
      </c>
      <c r="O25" s="80"/>
      <c r="P25" s="87" t="s">
        <v>93</v>
      </c>
      <c r="Q25" s="105" t="s">
        <v>91</v>
      </c>
      <c r="R25" s="80" t="s">
        <v>94</v>
      </c>
      <c r="S25" s="80"/>
      <c r="T25" s="80"/>
      <c r="U25" s="80" t="s">
        <v>95</v>
      </c>
      <c r="V25" s="80" t="s">
        <v>563</v>
      </c>
      <c r="W25" s="89" t="s">
        <v>563</v>
      </c>
      <c r="X25" s="91"/>
      <c r="Y25" s="80"/>
      <c r="Z25" s="104" t="s">
        <v>92</v>
      </c>
      <c r="AA25" s="80"/>
      <c r="AB25" s="99" t="s">
        <v>90</v>
      </c>
      <c r="AC25" s="80"/>
      <c r="AD25" s="89" t="s">
        <v>96</v>
      </c>
      <c r="AE25" s="106" t="s">
        <v>91</v>
      </c>
      <c r="AF25" s="80"/>
      <c r="AG25" s="104" t="s">
        <v>92</v>
      </c>
      <c r="AH25" s="80"/>
      <c r="AI25" s="80" t="s">
        <v>97</v>
      </c>
      <c r="AJ25" s="80"/>
      <c r="AK25" s="89" t="s">
        <v>98</v>
      </c>
    </row>
    <row r="26" spans="1:37" ht="40.200000000000003" customHeight="1" x14ac:dyDescent="0.4">
      <c r="A26" s="12" t="s">
        <v>529</v>
      </c>
      <c r="B26" s="12">
        <v>15</v>
      </c>
      <c r="C26" s="72"/>
      <c r="D26" s="32" t="s">
        <v>99</v>
      </c>
      <c r="E26" s="14"/>
      <c r="F26" s="36" t="s">
        <v>100</v>
      </c>
      <c r="G26" s="18" t="s">
        <v>101</v>
      </c>
      <c r="H26" s="14"/>
      <c r="I26" s="15"/>
      <c r="J26" s="37" t="s">
        <v>100</v>
      </c>
      <c r="K26" s="14"/>
      <c r="L26" s="14"/>
      <c r="M26" s="18" t="s">
        <v>101</v>
      </c>
      <c r="N26" s="14"/>
      <c r="O26" s="14"/>
      <c r="P26" s="87" t="s">
        <v>583</v>
      </c>
      <c r="Q26" s="13"/>
      <c r="R26" s="18" t="s">
        <v>101</v>
      </c>
      <c r="S26" s="14"/>
      <c r="T26" s="34" t="s">
        <v>99</v>
      </c>
      <c r="U26" s="14" t="s">
        <v>102</v>
      </c>
      <c r="V26" s="14" t="s">
        <v>563</v>
      </c>
      <c r="W26" s="16" t="s">
        <v>563</v>
      </c>
      <c r="X26" s="38" t="s">
        <v>100</v>
      </c>
      <c r="Y26" s="14"/>
      <c r="Z26" s="14"/>
      <c r="AA26" s="14" t="s">
        <v>48</v>
      </c>
      <c r="AB26" s="14"/>
      <c r="AC26" s="34" t="s">
        <v>99</v>
      </c>
      <c r="AD26" s="89" t="s">
        <v>583</v>
      </c>
      <c r="AE26" s="38" t="s">
        <v>100</v>
      </c>
      <c r="AF26" s="18" t="s">
        <v>101</v>
      </c>
      <c r="AG26" s="14"/>
      <c r="AH26" s="50" t="s">
        <v>103</v>
      </c>
      <c r="AI26" s="14"/>
      <c r="AJ26" s="34" t="s">
        <v>99</v>
      </c>
      <c r="AK26" s="16"/>
    </row>
    <row r="27" spans="1:37" ht="40.200000000000003" customHeight="1" x14ac:dyDescent="0.4">
      <c r="A27" s="12" t="s">
        <v>530</v>
      </c>
      <c r="B27" s="12">
        <v>15</v>
      </c>
      <c r="C27" s="72"/>
      <c r="D27" s="32" t="s">
        <v>104</v>
      </c>
      <c r="E27" s="14"/>
      <c r="F27" s="14"/>
      <c r="G27" s="14"/>
      <c r="H27" s="55" t="s">
        <v>105</v>
      </c>
      <c r="I27" s="15"/>
      <c r="J27" s="56" t="s">
        <v>105</v>
      </c>
      <c r="K27" s="14"/>
      <c r="L27" s="14" t="s">
        <v>106</v>
      </c>
      <c r="M27" s="14"/>
      <c r="N27" s="14" t="s">
        <v>107</v>
      </c>
      <c r="O27" s="14"/>
      <c r="P27" s="15" t="s">
        <v>108</v>
      </c>
      <c r="Q27" s="13" t="s">
        <v>109</v>
      </c>
      <c r="R27" s="14"/>
      <c r="S27" s="14" t="s">
        <v>110</v>
      </c>
      <c r="T27" s="34" t="s">
        <v>104</v>
      </c>
      <c r="U27" s="80" t="s">
        <v>583</v>
      </c>
      <c r="V27" s="14" t="s">
        <v>563</v>
      </c>
      <c r="W27" s="16" t="s">
        <v>563</v>
      </c>
      <c r="X27" s="17"/>
      <c r="Y27" s="14"/>
      <c r="Z27" s="14"/>
      <c r="AA27" s="14"/>
      <c r="AB27" s="55" t="s">
        <v>105</v>
      </c>
      <c r="AC27" s="34" t="s">
        <v>104</v>
      </c>
      <c r="AD27" s="89" t="s">
        <v>583</v>
      </c>
      <c r="AE27" s="17"/>
      <c r="AF27" s="14" t="s">
        <v>111</v>
      </c>
      <c r="AG27" s="14"/>
      <c r="AH27" s="14" t="s">
        <v>112</v>
      </c>
      <c r="AI27" s="14"/>
      <c r="AJ27" s="34" t="s">
        <v>104</v>
      </c>
      <c r="AK27" s="16" t="s">
        <v>113</v>
      </c>
    </row>
    <row r="28" spans="1:37" ht="40.200000000000003" customHeight="1" x14ac:dyDescent="0.4">
      <c r="A28" s="12" t="s">
        <v>531</v>
      </c>
      <c r="B28" s="12">
        <v>16</v>
      </c>
      <c r="C28" s="72" t="s">
        <v>282</v>
      </c>
      <c r="D28" s="13" t="s">
        <v>95</v>
      </c>
      <c r="E28" s="14"/>
      <c r="F28" s="14" t="s">
        <v>96</v>
      </c>
      <c r="G28" s="18" t="s">
        <v>581</v>
      </c>
      <c r="H28" s="14"/>
      <c r="I28" s="15" t="s">
        <v>98</v>
      </c>
      <c r="J28" s="13"/>
      <c r="K28" s="14" t="s">
        <v>102</v>
      </c>
      <c r="L28" s="14"/>
      <c r="M28" s="18" t="s">
        <v>581</v>
      </c>
      <c r="N28" s="14"/>
      <c r="O28" s="48" t="s">
        <v>114</v>
      </c>
      <c r="P28" s="87" t="s">
        <v>583</v>
      </c>
      <c r="Q28" s="13"/>
      <c r="R28" s="18" t="s">
        <v>581</v>
      </c>
      <c r="S28" s="48" t="s">
        <v>114</v>
      </c>
      <c r="T28" s="14"/>
      <c r="U28" s="80" t="s">
        <v>583</v>
      </c>
      <c r="V28" s="14" t="s">
        <v>563</v>
      </c>
      <c r="W28" s="16" t="s">
        <v>563</v>
      </c>
      <c r="X28" s="17"/>
      <c r="Y28" s="14" t="s">
        <v>94</v>
      </c>
      <c r="Z28" s="14" t="s">
        <v>97</v>
      </c>
      <c r="AA28" s="14"/>
      <c r="AB28" s="48" t="s">
        <v>114</v>
      </c>
      <c r="AC28" s="14"/>
      <c r="AD28" s="89" t="s">
        <v>583</v>
      </c>
      <c r="AE28" s="17" t="s">
        <v>89</v>
      </c>
      <c r="AF28" s="18" t="s">
        <v>581</v>
      </c>
      <c r="AG28" s="14"/>
      <c r="AH28" s="14"/>
      <c r="AI28" s="48" t="s">
        <v>114</v>
      </c>
      <c r="AJ28" s="14"/>
      <c r="AK28" s="16" t="s">
        <v>93</v>
      </c>
    </row>
    <row r="29" spans="1:37" ht="40.200000000000003" customHeight="1" x14ac:dyDescent="0.4">
      <c r="A29" s="77" t="s">
        <v>532</v>
      </c>
      <c r="B29" s="77">
        <v>15</v>
      </c>
      <c r="C29" s="78"/>
      <c r="D29" s="79" t="s">
        <v>102</v>
      </c>
      <c r="E29" s="80"/>
      <c r="F29" s="80"/>
      <c r="G29" s="80"/>
      <c r="H29" s="99" t="s">
        <v>115</v>
      </c>
      <c r="I29" s="87"/>
      <c r="J29" s="100" t="s">
        <v>115</v>
      </c>
      <c r="K29" s="80"/>
      <c r="L29" s="103" t="s">
        <v>116</v>
      </c>
      <c r="M29" s="80"/>
      <c r="N29" s="80" t="s">
        <v>97</v>
      </c>
      <c r="O29" s="80"/>
      <c r="P29" s="87"/>
      <c r="Q29" s="105" t="s">
        <v>116</v>
      </c>
      <c r="R29" s="80"/>
      <c r="S29" s="80"/>
      <c r="T29" s="80" t="s">
        <v>96</v>
      </c>
      <c r="U29" s="80"/>
      <c r="V29" s="14" t="s">
        <v>563</v>
      </c>
      <c r="W29" s="16" t="s">
        <v>563</v>
      </c>
      <c r="X29" s="91"/>
      <c r="Y29" s="80" t="s">
        <v>98</v>
      </c>
      <c r="Z29" s="80"/>
      <c r="AA29" s="80" t="s">
        <v>93</v>
      </c>
      <c r="AB29" s="99" t="s">
        <v>115</v>
      </c>
      <c r="AC29" s="80"/>
      <c r="AD29" s="89" t="s">
        <v>89</v>
      </c>
      <c r="AE29" s="106" t="s">
        <v>116</v>
      </c>
      <c r="AF29" s="80" t="s">
        <v>95</v>
      </c>
      <c r="AG29" s="80"/>
      <c r="AH29" s="102" t="s">
        <v>117</v>
      </c>
      <c r="AI29" s="80"/>
      <c r="AJ29" s="80" t="s">
        <v>94</v>
      </c>
      <c r="AK29" s="89"/>
    </row>
    <row r="30" spans="1:37" ht="40.200000000000003" customHeight="1" x14ac:dyDescent="0.4">
      <c r="A30" s="12" t="s">
        <v>533</v>
      </c>
      <c r="B30" s="12">
        <v>15</v>
      </c>
      <c r="C30" s="72" t="s">
        <v>283</v>
      </c>
      <c r="D30" s="32" t="s">
        <v>574</v>
      </c>
      <c r="E30" s="14"/>
      <c r="F30" s="36" t="s">
        <v>118</v>
      </c>
      <c r="G30" s="18" t="s">
        <v>119</v>
      </c>
      <c r="H30" s="14"/>
      <c r="I30" s="15"/>
      <c r="J30" s="13"/>
      <c r="K30" s="14"/>
      <c r="L30" s="59" t="s">
        <v>120</v>
      </c>
      <c r="M30" s="14"/>
      <c r="N30" s="14"/>
      <c r="O30" s="70" t="s">
        <v>121</v>
      </c>
      <c r="P30" s="87" t="s">
        <v>583</v>
      </c>
      <c r="Q30" s="61" t="s">
        <v>120</v>
      </c>
      <c r="R30" s="14"/>
      <c r="S30" s="70" t="s">
        <v>268</v>
      </c>
      <c r="T30" s="34" t="s">
        <v>574</v>
      </c>
      <c r="U30" s="80" t="s">
        <v>583</v>
      </c>
      <c r="V30" s="14" t="s">
        <v>563</v>
      </c>
      <c r="W30" s="16" t="s">
        <v>563</v>
      </c>
      <c r="X30" s="38" t="s">
        <v>118</v>
      </c>
      <c r="Y30" s="14"/>
      <c r="Z30" s="14"/>
      <c r="AA30" s="14"/>
      <c r="AB30" s="70" t="s">
        <v>121</v>
      </c>
      <c r="AC30" s="34" t="s">
        <v>574</v>
      </c>
      <c r="AD30" s="89" t="s">
        <v>583</v>
      </c>
      <c r="AE30" s="65" t="s">
        <v>120</v>
      </c>
      <c r="AF30" s="18" t="s">
        <v>119</v>
      </c>
      <c r="AG30" s="14"/>
      <c r="AH30" s="14"/>
      <c r="AI30" s="70" t="s">
        <v>121</v>
      </c>
      <c r="AJ30" s="34" t="s">
        <v>574</v>
      </c>
      <c r="AK30" s="16"/>
    </row>
    <row r="31" spans="1:37" ht="40.200000000000003" customHeight="1" x14ac:dyDescent="0.4">
      <c r="A31" s="12" t="s">
        <v>534</v>
      </c>
      <c r="B31" s="12">
        <v>9</v>
      </c>
      <c r="C31" s="72"/>
      <c r="D31" s="13"/>
      <c r="E31" s="14"/>
      <c r="F31" s="14"/>
      <c r="G31" s="14"/>
      <c r="H31" s="14" t="s">
        <v>94</v>
      </c>
      <c r="I31" s="15" t="s">
        <v>93</v>
      </c>
      <c r="J31" s="13"/>
      <c r="K31" s="14"/>
      <c r="L31" s="14"/>
      <c r="M31" s="14"/>
      <c r="N31" s="14" t="s">
        <v>89</v>
      </c>
      <c r="O31" s="14"/>
      <c r="P31" s="15"/>
      <c r="Q31" s="13"/>
      <c r="R31" s="14"/>
      <c r="S31" s="14" t="s">
        <v>98</v>
      </c>
      <c r="T31" s="14" t="s">
        <v>97</v>
      </c>
      <c r="U31" s="14"/>
      <c r="V31" s="14" t="s">
        <v>563</v>
      </c>
      <c r="W31" s="16" t="s">
        <v>563</v>
      </c>
      <c r="X31" s="17"/>
      <c r="Y31" s="14"/>
      <c r="Z31" s="14" t="s">
        <v>102</v>
      </c>
      <c r="AA31" s="14"/>
      <c r="AB31" s="14" t="s">
        <v>95</v>
      </c>
      <c r="AC31" s="14"/>
      <c r="AD31" s="16"/>
      <c r="AE31" s="38" t="s">
        <v>118</v>
      </c>
      <c r="AF31" s="14"/>
      <c r="AG31" s="14" t="s">
        <v>96</v>
      </c>
      <c r="AH31" s="14"/>
      <c r="AI31" s="14"/>
      <c r="AJ31" s="14"/>
      <c r="AK31" s="16"/>
    </row>
    <row r="32" spans="1:37" ht="40.200000000000003" customHeight="1" x14ac:dyDescent="0.4">
      <c r="A32" s="12" t="s">
        <v>535</v>
      </c>
      <c r="B32" s="12">
        <v>6</v>
      </c>
      <c r="C32" s="72"/>
      <c r="D32" s="13"/>
      <c r="E32" s="14"/>
      <c r="F32" s="14"/>
      <c r="G32" s="14"/>
      <c r="H32" s="14"/>
      <c r="I32" s="15"/>
      <c r="J32" s="37" t="s">
        <v>118</v>
      </c>
      <c r="K32" s="14" t="s">
        <v>122</v>
      </c>
      <c r="L32" s="14"/>
      <c r="M32" s="18" t="s">
        <v>119</v>
      </c>
      <c r="N32" s="14"/>
      <c r="O32" s="14"/>
      <c r="P32" s="87" t="s">
        <v>583</v>
      </c>
      <c r="Q32" s="13" t="s">
        <v>122</v>
      </c>
      <c r="R32" s="18" t="s">
        <v>119</v>
      </c>
      <c r="S32" s="14" t="s">
        <v>122</v>
      </c>
      <c r="T32" s="14"/>
      <c r="U32" s="80" t="s">
        <v>583</v>
      </c>
      <c r="V32" s="14" t="s">
        <v>563</v>
      </c>
      <c r="W32" s="16" t="s">
        <v>563</v>
      </c>
      <c r="X32" s="17"/>
      <c r="Y32" s="14"/>
      <c r="Z32" s="14"/>
      <c r="AA32" s="14"/>
      <c r="AB32" s="14"/>
      <c r="AC32" s="14"/>
      <c r="AD32" s="89" t="s">
        <v>583</v>
      </c>
      <c r="AE32" s="17"/>
      <c r="AF32" s="14"/>
      <c r="AG32" s="14"/>
      <c r="AH32" s="14"/>
      <c r="AI32" s="14"/>
      <c r="AJ32" s="14"/>
      <c r="AK32" s="16"/>
    </row>
    <row r="33" spans="1:37" ht="40.200000000000003" customHeight="1" thickBot="1" x14ac:dyDescent="0.45">
      <c r="A33" s="19" t="s">
        <v>536</v>
      </c>
      <c r="B33" s="19">
        <v>15</v>
      </c>
      <c r="C33" s="73"/>
      <c r="D33" s="33" t="s">
        <v>123</v>
      </c>
      <c r="E33" s="2"/>
      <c r="F33" s="2"/>
      <c r="G33" s="20" t="s">
        <v>124</v>
      </c>
      <c r="H33" s="2"/>
      <c r="I33" s="41" t="s">
        <v>125</v>
      </c>
      <c r="J33" s="1"/>
      <c r="K33" s="42" t="s">
        <v>125</v>
      </c>
      <c r="L33" s="2"/>
      <c r="M33" s="20" t="s">
        <v>124</v>
      </c>
      <c r="N33" s="2" t="s">
        <v>50</v>
      </c>
      <c r="O33" s="2"/>
      <c r="P33" s="87" t="s">
        <v>583</v>
      </c>
      <c r="Q33" s="47" t="s">
        <v>125</v>
      </c>
      <c r="R33" s="20" t="s">
        <v>124</v>
      </c>
      <c r="S33" s="2"/>
      <c r="T33" s="35" t="s">
        <v>123</v>
      </c>
      <c r="U33" s="80" t="s">
        <v>583</v>
      </c>
      <c r="V33" s="24" t="s">
        <v>563</v>
      </c>
      <c r="W33" s="26" t="s">
        <v>563</v>
      </c>
      <c r="X33" s="5"/>
      <c r="Y33" s="42" t="s">
        <v>125</v>
      </c>
      <c r="Z33" s="2"/>
      <c r="AA33" s="2"/>
      <c r="AB33" s="2"/>
      <c r="AC33" s="35" t="s">
        <v>123</v>
      </c>
      <c r="AD33" s="89" t="s">
        <v>583</v>
      </c>
      <c r="AE33" s="5"/>
      <c r="AF33" s="20" t="s">
        <v>124</v>
      </c>
      <c r="AG33" s="2"/>
      <c r="AH33" s="51" t="s">
        <v>126</v>
      </c>
      <c r="AI33" s="2"/>
      <c r="AJ33" s="35" t="s">
        <v>123</v>
      </c>
      <c r="AK33" s="4" t="s">
        <v>47</v>
      </c>
    </row>
    <row r="34" spans="1:37" ht="40.200000000000003" customHeight="1" x14ac:dyDescent="0.4">
      <c r="A34" s="6" t="s">
        <v>537</v>
      </c>
      <c r="B34" s="6">
        <v>17</v>
      </c>
      <c r="C34" s="71" t="s">
        <v>284</v>
      </c>
      <c r="D34" s="7"/>
      <c r="E34" s="8" t="s">
        <v>127</v>
      </c>
      <c r="F34" s="8" t="s">
        <v>128</v>
      </c>
      <c r="G34" s="8"/>
      <c r="H34" s="54" t="s">
        <v>129</v>
      </c>
      <c r="I34" s="9" t="s">
        <v>130</v>
      </c>
      <c r="J34" s="57" t="s">
        <v>129</v>
      </c>
      <c r="K34" s="8"/>
      <c r="L34" s="60" t="s">
        <v>131</v>
      </c>
      <c r="M34" s="8"/>
      <c r="N34" s="69" t="s">
        <v>132</v>
      </c>
      <c r="O34" s="8"/>
      <c r="P34" s="9" t="s">
        <v>133</v>
      </c>
      <c r="Q34" s="63" t="s">
        <v>131</v>
      </c>
      <c r="R34" s="8"/>
      <c r="S34" s="8"/>
      <c r="T34" s="8" t="s">
        <v>134</v>
      </c>
      <c r="U34" s="8"/>
      <c r="V34" s="80" t="s">
        <v>563</v>
      </c>
      <c r="W34" s="89" t="s">
        <v>563</v>
      </c>
      <c r="X34" s="11"/>
      <c r="Y34" s="8" t="s">
        <v>135</v>
      </c>
      <c r="Z34" s="69" t="s">
        <v>132</v>
      </c>
      <c r="AA34" s="8"/>
      <c r="AB34" s="54" t="s">
        <v>129</v>
      </c>
      <c r="AC34" s="8"/>
      <c r="AD34" s="10"/>
      <c r="AE34" s="66" t="s">
        <v>131</v>
      </c>
      <c r="AF34" s="8"/>
      <c r="AG34" s="69" t="s">
        <v>132</v>
      </c>
      <c r="AH34" s="8"/>
      <c r="AI34" s="8" t="s">
        <v>136</v>
      </c>
      <c r="AJ34" s="8" t="s">
        <v>137</v>
      </c>
      <c r="AK34" s="10"/>
    </row>
    <row r="35" spans="1:37" ht="40.200000000000003" customHeight="1" x14ac:dyDescent="0.4">
      <c r="A35" s="12" t="s">
        <v>538</v>
      </c>
      <c r="B35" s="12">
        <v>15</v>
      </c>
      <c r="C35" s="72" t="s">
        <v>285</v>
      </c>
      <c r="D35" s="13"/>
      <c r="E35" s="14"/>
      <c r="F35" s="36" t="s">
        <v>138</v>
      </c>
      <c r="G35" s="14"/>
      <c r="H35" s="14"/>
      <c r="I35" s="40" t="s">
        <v>139</v>
      </c>
      <c r="J35" s="37" t="s">
        <v>138</v>
      </c>
      <c r="K35" s="43" t="s">
        <v>139</v>
      </c>
      <c r="L35" s="14"/>
      <c r="M35" s="14"/>
      <c r="N35" s="68" t="s">
        <v>140</v>
      </c>
      <c r="O35" s="48" t="s">
        <v>141</v>
      </c>
      <c r="P35" s="87" t="s">
        <v>583</v>
      </c>
      <c r="Q35" s="46" t="s">
        <v>139</v>
      </c>
      <c r="R35" s="14"/>
      <c r="S35" s="48" t="s">
        <v>141</v>
      </c>
      <c r="T35" s="14"/>
      <c r="U35" s="80" t="s">
        <v>583</v>
      </c>
      <c r="V35" s="14" t="s">
        <v>563</v>
      </c>
      <c r="W35" s="16" t="s">
        <v>563</v>
      </c>
      <c r="X35" s="38" t="s">
        <v>138</v>
      </c>
      <c r="Y35" s="43" t="s">
        <v>139</v>
      </c>
      <c r="Z35" s="68" t="s">
        <v>140</v>
      </c>
      <c r="AA35" s="14"/>
      <c r="AB35" s="48" t="s">
        <v>141</v>
      </c>
      <c r="AC35" s="14"/>
      <c r="AD35" s="89" t="s">
        <v>583</v>
      </c>
      <c r="AE35" s="38" t="s">
        <v>138</v>
      </c>
      <c r="AF35" s="14"/>
      <c r="AG35" s="68" t="s">
        <v>140</v>
      </c>
      <c r="AH35" s="14"/>
      <c r="AI35" s="48" t="s">
        <v>141</v>
      </c>
      <c r="AJ35" s="14"/>
      <c r="AK35" s="16"/>
    </row>
    <row r="36" spans="1:37" ht="40.200000000000003" customHeight="1" x14ac:dyDescent="0.4">
      <c r="A36" s="12" t="s">
        <v>539</v>
      </c>
      <c r="B36" s="12">
        <v>15</v>
      </c>
      <c r="C36" s="72" t="s">
        <v>286</v>
      </c>
      <c r="D36" s="13"/>
      <c r="E36" s="14"/>
      <c r="F36" s="14"/>
      <c r="G36" s="14" t="s">
        <v>133</v>
      </c>
      <c r="H36" s="55" t="s">
        <v>142</v>
      </c>
      <c r="I36" s="15"/>
      <c r="J36" s="56" t="s">
        <v>142</v>
      </c>
      <c r="K36" s="14"/>
      <c r="L36" s="14" t="s">
        <v>137</v>
      </c>
      <c r="M36" s="14"/>
      <c r="N36" s="14" t="s">
        <v>128</v>
      </c>
      <c r="O36" s="14"/>
      <c r="P36" s="15" t="s">
        <v>135</v>
      </c>
      <c r="Q36" s="13"/>
      <c r="R36" s="14" t="s">
        <v>127</v>
      </c>
      <c r="S36" s="14" t="s">
        <v>130</v>
      </c>
      <c r="T36" s="14"/>
      <c r="U36" s="14"/>
      <c r="V36" s="14" t="s">
        <v>563</v>
      </c>
      <c r="W36" s="16" t="s">
        <v>563</v>
      </c>
      <c r="X36" s="17" t="s">
        <v>137</v>
      </c>
      <c r="Y36" s="14"/>
      <c r="Z36" s="14"/>
      <c r="AA36" s="14"/>
      <c r="AB36" s="55" t="s">
        <v>142</v>
      </c>
      <c r="AC36" s="14" t="s">
        <v>136</v>
      </c>
      <c r="AD36" s="16"/>
      <c r="AE36" s="17" t="s">
        <v>135</v>
      </c>
      <c r="AF36" s="14"/>
      <c r="AG36" s="14" t="s">
        <v>130</v>
      </c>
      <c r="AH36" s="14"/>
      <c r="AI36" s="14" t="s">
        <v>134</v>
      </c>
      <c r="AJ36" s="14"/>
      <c r="AK36" s="16" t="s">
        <v>127</v>
      </c>
    </row>
    <row r="37" spans="1:37" ht="40.200000000000003" customHeight="1" x14ac:dyDescent="0.4">
      <c r="A37" s="12" t="s">
        <v>540</v>
      </c>
      <c r="B37" s="12">
        <v>9</v>
      </c>
      <c r="C37" s="72"/>
      <c r="D37" s="32" t="s">
        <v>580</v>
      </c>
      <c r="E37" s="14"/>
      <c r="F37" s="14"/>
      <c r="G37" s="14"/>
      <c r="H37" s="14"/>
      <c r="I37" s="40" t="s">
        <v>577</v>
      </c>
      <c r="J37" s="13"/>
      <c r="K37" s="43" t="s">
        <v>577</v>
      </c>
      <c r="L37" s="14"/>
      <c r="M37" s="14" t="s">
        <v>134</v>
      </c>
      <c r="N37" s="14"/>
      <c r="O37" s="14"/>
      <c r="P37" s="87" t="s">
        <v>583</v>
      </c>
      <c r="Q37" s="46" t="s">
        <v>577</v>
      </c>
      <c r="R37" s="14"/>
      <c r="S37" s="14"/>
      <c r="T37" s="34" t="s">
        <v>580</v>
      </c>
      <c r="U37" s="80" t="s">
        <v>583</v>
      </c>
      <c r="V37" s="14" t="s">
        <v>563</v>
      </c>
      <c r="W37" s="16" t="s">
        <v>563</v>
      </c>
      <c r="X37" s="17"/>
      <c r="Y37" s="43" t="s">
        <v>577</v>
      </c>
      <c r="Z37" s="14"/>
      <c r="AA37" s="14"/>
      <c r="AB37" s="14"/>
      <c r="AC37" s="34" t="s">
        <v>580</v>
      </c>
      <c r="AD37" s="89" t="s">
        <v>583</v>
      </c>
      <c r="AE37" s="17"/>
      <c r="AF37" s="14"/>
      <c r="AG37" s="14"/>
      <c r="AH37" s="14"/>
      <c r="AI37" s="14"/>
      <c r="AJ37" s="34" t="s">
        <v>580</v>
      </c>
      <c r="AK37" s="16"/>
    </row>
    <row r="38" spans="1:37" ht="40.200000000000003" customHeight="1" x14ac:dyDescent="0.4">
      <c r="A38" s="12" t="s">
        <v>541</v>
      </c>
      <c r="B38" s="12">
        <v>14</v>
      </c>
      <c r="C38" s="72"/>
      <c r="D38" s="13" t="s">
        <v>136</v>
      </c>
      <c r="E38" s="14" t="s">
        <v>134</v>
      </c>
      <c r="F38" s="14"/>
      <c r="G38" s="14"/>
      <c r="H38" s="55" t="s">
        <v>143</v>
      </c>
      <c r="I38" s="15"/>
      <c r="J38" s="56" t="s">
        <v>143</v>
      </c>
      <c r="K38" s="14"/>
      <c r="L38" s="59" t="s">
        <v>144</v>
      </c>
      <c r="M38" s="14"/>
      <c r="N38" s="14"/>
      <c r="O38" s="14"/>
      <c r="P38" s="87" t="s">
        <v>583</v>
      </c>
      <c r="Q38" s="61" t="s">
        <v>144</v>
      </c>
      <c r="R38" s="14"/>
      <c r="S38" s="48" t="s">
        <v>145</v>
      </c>
      <c r="T38" s="34" t="s">
        <v>146</v>
      </c>
      <c r="U38" s="80" t="s">
        <v>583</v>
      </c>
      <c r="V38" s="14" t="s">
        <v>563</v>
      </c>
      <c r="W38" s="16" t="s">
        <v>563</v>
      </c>
      <c r="X38" s="17"/>
      <c r="Y38" s="14"/>
      <c r="Z38" s="14"/>
      <c r="AA38" s="14"/>
      <c r="AB38" s="55" t="s">
        <v>143</v>
      </c>
      <c r="AC38" s="34" t="s">
        <v>146</v>
      </c>
      <c r="AD38" s="89" t="s">
        <v>583</v>
      </c>
      <c r="AE38" s="65" t="s">
        <v>144</v>
      </c>
      <c r="AF38" s="14" t="s">
        <v>133</v>
      </c>
      <c r="AG38" s="14"/>
      <c r="AH38" s="14"/>
      <c r="AI38" s="48" t="s">
        <v>145</v>
      </c>
      <c r="AJ38" s="14"/>
      <c r="AK38" s="16" t="s">
        <v>128</v>
      </c>
    </row>
    <row r="39" spans="1:37" ht="40.200000000000003" customHeight="1" x14ac:dyDescent="0.4">
      <c r="A39" s="77" t="s">
        <v>542</v>
      </c>
      <c r="B39" s="77">
        <v>7</v>
      </c>
      <c r="C39" s="78"/>
      <c r="D39" s="79"/>
      <c r="E39" s="80"/>
      <c r="F39" s="80"/>
      <c r="G39" s="80"/>
      <c r="H39" s="80"/>
      <c r="I39" s="87"/>
      <c r="J39" s="79"/>
      <c r="K39" s="80"/>
      <c r="L39" s="80"/>
      <c r="M39" s="80"/>
      <c r="N39" s="80"/>
      <c r="O39" s="80"/>
      <c r="P39" s="87"/>
      <c r="Q39" s="79" t="s">
        <v>136</v>
      </c>
      <c r="R39" s="80"/>
      <c r="S39" s="80" t="s">
        <v>135</v>
      </c>
      <c r="T39" s="80" t="s">
        <v>137</v>
      </c>
      <c r="U39" s="80"/>
      <c r="V39" s="14" t="s">
        <v>563</v>
      </c>
      <c r="W39" s="16" t="s">
        <v>563</v>
      </c>
      <c r="X39" s="91"/>
      <c r="Y39" s="80" t="s">
        <v>127</v>
      </c>
      <c r="Z39" s="80" t="s">
        <v>130</v>
      </c>
      <c r="AA39" s="80"/>
      <c r="AB39" s="80" t="s">
        <v>133</v>
      </c>
      <c r="AC39" s="80"/>
      <c r="AD39" s="89" t="s">
        <v>128</v>
      </c>
      <c r="AE39" s="91"/>
      <c r="AF39" s="80"/>
      <c r="AG39" s="80"/>
      <c r="AH39" s="80"/>
      <c r="AI39" s="80"/>
      <c r="AJ39" s="80"/>
      <c r="AK39" s="89"/>
    </row>
    <row r="40" spans="1:37" ht="40.200000000000003" customHeight="1" x14ac:dyDescent="0.4">
      <c r="A40" s="12" t="s">
        <v>543</v>
      </c>
      <c r="B40" s="12">
        <v>17</v>
      </c>
      <c r="C40" s="72"/>
      <c r="D40" s="32" t="s">
        <v>146</v>
      </c>
      <c r="E40" s="14"/>
      <c r="F40" s="14" t="s">
        <v>147</v>
      </c>
      <c r="G40" s="14"/>
      <c r="H40" s="14"/>
      <c r="I40" s="15" t="s">
        <v>148</v>
      </c>
      <c r="J40" s="13" t="s">
        <v>149</v>
      </c>
      <c r="K40" s="14" t="s">
        <v>148</v>
      </c>
      <c r="L40" s="14"/>
      <c r="M40" s="14" t="s">
        <v>150</v>
      </c>
      <c r="N40" s="14"/>
      <c r="O40" s="14" t="s">
        <v>151</v>
      </c>
      <c r="P40" s="15"/>
      <c r="Q40" s="13"/>
      <c r="R40" s="14" t="s">
        <v>152</v>
      </c>
      <c r="S40" s="14" t="s">
        <v>153</v>
      </c>
      <c r="T40" s="14"/>
      <c r="U40" s="14"/>
      <c r="V40" s="14" t="s">
        <v>563</v>
      </c>
      <c r="W40" s="16" t="s">
        <v>563</v>
      </c>
      <c r="X40" s="17" t="s">
        <v>152</v>
      </c>
      <c r="Y40" s="14"/>
      <c r="Z40" s="14"/>
      <c r="AA40" s="14" t="s">
        <v>153</v>
      </c>
      <c r="AB40" s="14"/>
      <c r="AC40" s="14" t="s">
        <v>154</v>
      </c>
      <c r="AD40" s="16" t="s">
        <v>151</v>
      </c>
      <c r="AE40" s="17" t="s">
        <v>147</v>
      </c>
      <c r="AF40" s="14"/>
      <c r="AG40" s="14"/>
      <c r="AH40" s="14" t="s">
        <v>150</v>
      </c>
      <c r="AI40" s="14" t="s">
        <v>149</v>
      </c>
      <c r="AJ40" s="14"/>
      <c r="AK40" s="16" t="s">
        <v>154</v>
      </c>
    </row>
    <row r="41" spans="1:37" ht="40.200000000000003" customHeight="1" x14ac:dyDescent="0.4">
      <c r="A41" s="12" t="s">
        <v>544</v>
      </c>
      <c r="B41" s="12">
        <v>16</v>
      </c>
      <c r="C41" s="72" t="s">
        <v>287</v>
      </c>
      <c r="D41" s="13"/>
      <c r="E41" s="14" t="s">
        <v>155</v>
      </c>
      <c r="F41" s="14"/>
      <c r="G41" s="14"/>
      <c r="H41" s="14" t="s">
        <v>156</v>
      </c>
      <c r="I41" s="15"/>
      <c r="J41" s="13" t="s">
        <v>153</v>
      </c>
      <c r="K41" s="14"/>
      <c r="L41" s="14" t="s">
        <v>157</v>
      </c>
      <c r="M41" s="14"/>
      <c r="N41" s="14" t="s">
        <v>158</v>
      </c>
      <c r="O41" s="14" t="s">
        <v>152</v>
      </c>
      <c r="P41" s="15"/>
      <c r="Q41" s="13" t="s">
        <v>151</v>
      </c>
      <c r="R41" s="14"/>
      <c r="S41" s="14"/>
      <c r="T41" s="14" t="s">
        <v>154</v>
      </c>
      <c r="U41" s="14"/>
      <c r="V41" s="14" t="s">
        <v>563</v>
      </c>
      <c r="W41" s="16" t="s">
        <v>563</v>
      </c>
      <c r="X41" s="17" t="s">
        <v>147</v>
      </c>
      <c r="Y41" s="14"/>
      <c r="Z41" s="14" t="s">
        <v>159</v>
      </c>
      <c r="AA41" s="14" t="s">
        <v>149</v>
      </c>
      <c r="AB41" s="14"/>
      <c r="AC41" s="14" t="s">
        <v>150</v>
      </c>
      <c r="AD41" s="16"/>
      <c r="AE41" s="17" t="s">
        <v>160</v>
      </c>
      <c r="AF41" s="14"/>
      <c r="AG41" s="14" t="s">
        <v>161</v>
      </c>
      <c r="AH41" s="14" t="s">
        <v>148</v>
      </c>
      <c r="AI41" s="14"/>
      <c r="AJ41" s="14"/>
      <c r="AK41" s="16" t="s">
        <v>162</v>
      </c>
    </row>
    <row r="42" spans="1:37" ht="40.200000000000003" customHeight="1" x14ac:dyDescent="0.4">
      <c r="A42" s="12" t="s">
        <v>545</v>
      </c>
      <c r="B42" s="12">
        <v>17</v>
      </c>
      <c r="C42" s="72"/>
      <c r="D42" s="13"/>
      <c r="E42" s="14" t="s">
        <v>163</v>
      </c>
      <c r="F42" s="14"/>
      <c r="G42" s="14" t="s">
        <v>164</v>
      </c>
      <c r="H42" s="14"/>
      <c r="I42" s="15" t="s">
        <v>165</v>
      </c>
      <c r="J42" s="13"/>
      <c r="K42" s="14" t="s">
        <v>166</v>
      </c>
      <c r="L42" s="14"/>
      <c r="M42" s="14" t="s">
        <v>163</v>
      </c>
      <c r="N42" s="14"/>
      <c r="O42" s="48" t="s">
        <v>145</v>
      </c>
      <c r="P42" s="15" t="s">
        <v>164</v>
      </c>
      <c r="Q42" s="13"/>
      <c r="R42" s="14" t="s">
        <v>167</v>
      </c>
      <c r="S42" s="14"/>
      <c r="T42" s="14" t="s">
        <v>168</v>
      </c>
      <c r="U42" s="80" t="s">
        <v>583</v>
      </c>
      <c r="V42" s="14" t="s">
        <v>563</v>
      </c>
      <c r="W42" s="16" t="s">
        <v>563</v>
      </c>
      <c r="X42" s="17"/>
      <c r="Y42" s="14" t="s">
        <v>169</v>
      </c>
      <c r="Z42" s="14"/>
      <c r="AA42" s="14" t="s">
        <v>170</v>
      </c>
      <c r="AB42" s="14"/>
      <c r="AC42" s="14" t="s">
        <v>167</v>
      </c>
      <c r="AD42" s="16" t="s">
        <v>168</v>
      </c>
      <c r="AE42" s="17"/>
      <c r="AF42" s="14" t="s">
        <v>169</v>
      </c>
      <c r="AG42" s="14"/>
      <c r="AH42" s="14" t="s">
        <v>170</v>
      </c>
      <c r="AI42" s="14"/>
      <c r="AJ42" s="14" t="s">
        <v>166</v>
      </c>
      <c r="AK42" s="16" t="s">
        <v>165</v>
      </c>
    </row>
    <row r="43" spans="1:37" ht="40.200000000000003" customHeight="1" thickBot="1" x14ac:dyDescent="0.45">
      <c r="A43" s="19" t="s">
        <v>546</v>
      </c>
      <c r="B43" s="19">
        <v>16</v>
      </c>
      <c r="C43" s="73"/>
      <c r="D43" s="1" t="s">
        <v>170</v>
      </c>
      <c r="E43" s="2"/>
      <c r="F43" s="3" t="s">
        <v>168</v>
      </c>
      <c r="G43" s="2" t="s">
        <v>611</v>
      </c>
      <c r="H43" s="2"/>
      <c r="I43" s="3"/>
      <c r="J43" s="1"/>
      <c r="K43" s="2" t="s">
        <v>165</v>
      </c>
      <c r="L43" s="58" t="s">
        <v>171</v>
      </c>
      <c r="M43" s="2"/>
      <c r="N43" s="67" t="s">
        <v>172</v>
      </c>
      <c r="O43" s="2"/>
      <c r="P43" s="3" t="s">
        <v>169</v>
      </c>
      <c r="Q43" s="62" t="s">
        <v>171</v>
      </c>
      <c r="R43" s="2"/>
      <c r="S43" s="2"/>
      <c r="T43" s="2" t="s">
        <v>164</v>
      </c>
      <c r="U43" s="80" t="s">
        <v>583</v>
      </c>
      <c r="V43" s="24" t="s">
        <v>563</v>
      </c>
      <c r="W43" s="26" t="s">
        <v>563</v>
      </c>
      <c r="X43" s="5"/>
      <c r="Y43" s="2" t="s">
        <v>163</v>
      </c>
      <c r="Z43" s="67" t="s">
        <v>172</v>
      </c>
      <c r="AA43" s="2"/>
      <c r="AB43" s="49" t="s">
        <v>145</v>
      </c>
      <c r="AC43" s="2"/>
      <c r="AD43" s="89" t="s">
        <v>583</v>
      </c>
      <c r="AE43" s="64" t="s">
        <v>171</v>
      </c>
      <c r="AF43" s="2"/>
      <c r="AG43" s="67" t="s">
        <v>172</v>
      </c>
      <c r="AH43" s="2"/>
      <c r="AI43" s="2"/>
      <c r="AJ43" s="35" t="s">
        <v>146</v>
      </c>
      <c r="AK43" s="4" t="s">
        <v>167</v>
      </c>
    </row>
    <row r="44" spans="1:37" ht="40.200000000000003" customHeight="1" x14ac:dyDescent="0.4">
      <c r="A44" s="6" t="s">
        <v>547</v>
      </c>
      <c r="B44" s="6">
        <v>19</v>
      </c>
      <c r="C44" s="71" t="s">
        <v>288</v>
      </c>
      <c r="D44" s="7" t="s">
        <v>173</v>
      </c>
      <c r="E44" s="8"/>
      <c r="F44" s="8" t="s">
        <v>174</v>
      </c>
      <c r="G44" s="8"/>
      <c r="H44" s="54" t="s">
        <v>567</v>
      </c>
      <c r="I44" s="9" t="s">
        <v>175</v>
      </c>
      <c r="J44" s="7"/>
      <c r="K44" s="8"/>
      <c r="L44" s="8"/>
      <c r="M44" s="8" t="s">
        <v>176</v>
      </c>
      <c r="N44" s="8"/>
      <c r="O44" s="8" t="s">
        <v>177</v>
      </c>
      <c r="P44" s="9" t="s">
        <v>178</v>
      </c>
      <c r="Q44" s="7"/>
      <c r="R44" s="8" t="s">
        <v>179</v>
      </c>
      <c r="S44" s="8" t="s">
        <v>180</v>
      </c>
      <c r="T44" s="8" t="s">
        <v>181</v>
      </c>
      <c r="U44" s="8"/>
      <c r="V44" s="80" t="s">
        <v>563</v>
      </c>
      <c r="W44" s="89" t="s">
        <v>563</v>
      </c>
      <c r="X44" s="11"/>
      <c r="Y44" s="8"/>
      <c r="Z44" s="69" t="s">
        <v>566</v>
      </c>
      <c r="AA44" s="8"/>
      <c r="AB44" s="54" t="s">
        <v>567</v>
      </c>
      <c r="AC44" s="8" t="s">
        <v>175</v>
      </c>
      <c r="AD44" s="10" t="s">
        <v>178</v>
      </c>
      <c r="AE44" s="11" t="s">
        <v>175</v>
      </c>
      <c r="AF44" s="8"/>
      <c r="AG44" s="69" t="s">
        <v>566</v>
      </c>
      <c r="AH44" s="8" t="s">
        <v>182</v>
      </c>
      <c r="AI44" s="8"/>
      <c r="AJ44" s="8" t="s">
        <v>177</v>
      </c>
      <c r="AK44" s="10" t="s">
        <v>178</v>
      </c>
    </row>
    <row r="45" spans="1:37" ht="40.200000000000003" customHeight="1" x14ac:dyDescent="0.4">
      <c r="A45" s="12" t="s">
        <v>548</v>
      </c>
      <c r="B45" s="12">
        <v>8</v>
      </c>
      <c r="C45" s="72"/>
      <c r="D45" s="13"/>
      <c r="E45" s="14"/>
      <c r="F45" s="14"/>
      <c r="G45" s="14"/>
      <c r="H45" s="14"/>
      <c r="I45" s="15"/>
      <c r="J45" s="13" t="s">
        <v>183</v>
      </c>
      <c r="K45" s="43" t="s">
        <v>571</v>
      </c>
      <c r="L45" s="14" t="s">
        <v>184</v>
      </c>
      <c r="M45" s="14" t="s">
        <v>185</v>
      </c>
      <c r="N45" s="14"/>
      <c r="O45" s="14"/>
      <c r="P45" s="15"/>
      <c r="Q45" s="13"/>
      <c r="R45" s="14"/>
      <c r="S45" s="14"/>
      <c r="T45" s="14"/>
      <c r="U45" s="14"/>
      <c r="V45" s="14" t="s">
        <v>563</v>
      </c>
      <c r="W45" s="16" t="s">
        <v>563</v>
      </c>
      <c r="X45" s="17" t="s">
        <v>186</v>
      </c>
      <c r="Y45" s="43" t="s">
        <v>571</v>
      </c>
      <c r="Z45" s="14" t="s">
        <v>187</v>
      </c>
      <c r="AA45" s="14" t="s">
        <v>188</v>
      </c>
      <c r="AB45" s="14"/>
      <c r="AC45" s="14"/>
      <c r="AD45" s="16"/>
      <c r="AE45" s="17"/>
      <c r="AF45" s="14"/>
      <c r="AG45" s="14"/>
      <c r="AH45" s="14"/>
      <c r="AI45" s="14"/>
      <c r="AJ45" s="14"/>
      <c r="AK45" s="16"/>
    </row>
    <row r="46" spans="1:37" ht="40.200000000000003" customHeight="1" x14ac:dyDescent="0.4">
      <c r="A46" s="12" t="s">
        <v>549</v>
      </c>
      <c r="B46" s="12">
        <v>15</v>
      </c>
      <c r="C46" s="72" t="s">
        <v>289</v>
      </c>
      <c r="D46" s="13"/>
      <c r="E46" s="14"/>
      <c r="F46" s="14" t="s">
        <v>186</v>
      </c>
      <c r="G46" s="14" t="s">
        <v>189</v>
      </c>
      <c r="H46" s="14"/>
      <c r="I46" s="15"/>
      <c r="J46" s="56" t="s">
        <v>567</v>
      </c>
      <c r="K46" s="14" t="s">
        <v>190</v>
      </c>
      <c r="L46" s="14"/>
      <c r="M46" s="14"/>
      <c r="N46" s="68" t="s">
        <v>566</v>
      </c>
      <c r="O46" s="14"/>
      <c r="P46" s="15" t="s">
        <v>191</v>
      </c>
      <c r="Q46" s="13" t="s">
        <v>183</v>
      </c>
      <c r="R46" s="14"/>
      <c r="S46" s="14"/>
      <c r="T46" s="14"/>
      <c r="U46" s="14" t="s">
        <v>192</v>
      </c>
      <c r="V46" s="14" t="s">
        <v>563</v>
      </c>
      <c r="W46" s="16" t="s">
        <v>563</v>
      </c>
      <c r="X46" s="17"/>
      <c r="Y46" s="14" t="s">
        <v>180</v>
      </c>
      <c r="Z46" s="14"/>
      <c r="AA46" s="14"/>
      <c r="AB46" s="14" t="s">
        <v>185</v>
      </c>
      <c r="AC46" s="14"/>
      <c r="AD46" s="16" t="s">
        <v>191</v>
      </c>
      <c r="AE46" s="17" t="s">
        <v>193</v>
      </c>
      <c r="AF46" s="14" t="s">
        <v>179</v>
      </c>
      <c r="AG46" s="14"/>
      <c r="AH46" s="14" t="s">
        <v>181</v>
      </c>
      <c r="AI46" s="14" t="s">
        <v>176</v>
      </c>
      <c r="AJ46" s="14"/>
      <c r="AK46" s="16"/>
    </row>
    <row r="47" spans="1:37" ht="40.200000000000003" customHeight="1" x14ac:dyDescent="0.4">
      <c r="A47" s="12" t="s">
        <v>550</v>
      </c>
      <c r="B47" s="12">
        <v>14</v>
      </c>
      <c r="C47" s="72" t="s">
        <v>290</v>
      </c>
      <c r="D47" s="13"/>
      <c r="E47" s="14" t="s">
        <v>187</v>
      </c>
      <c r="F47" s="14"/>
      <c r="G47" s="14"/>
      <c r="H47" s="14" t="s">
        <v>194</v>
      </c>
      <c r="I47" s="40" t="s">
        <v>571</v>
      </c>
      <c r="J47" s="13"/>
      <c r="K47" s="14"/>
      <c r="L47" s="14" t="s">
        <v>195</v>
      </c>
      <c r="M47" s="14"/>
      <c r="N47" s="14" t="s">
        <v>196</v>
      </c>
      <c r="O47" s="14"/>
      <c r="P47" s="87" t="s">
        <v>583</v>
      </c>
      <c r="Q47" s="46" t="s">
        <v>571</v>
      </c>
      <c r="R47" s="14"/>
      <c r="S47" s="14" t="s">
        <v>182</v>
      </c>
      <c r="T47" s="14"/>
      <c r="U47" s="80" t="s">
        <v>583</v>
      </c>
      <c r="V47" s="14" t="s">
        <v>563</v>
      </c>
      <c r="W47" s="16" t="s">
        <v>563</v>
      </c>
      <c r="X47" s="17"/>
      <c r="Y47" s="14"/>
      <c r="Z47" s="14"/>
      <c r="AA47" s="14" t="s">
        <v>197</v>
      </c>
      <c r="AB47" s="14"/>
      <c r="AC47" s="14" t="s">
        <v>198</v>
      </c>
      <c r="AD47" s="16" t="s">
        <v>174</v>
      </c>
      <c r="AE47" s="17"/>
      <c r="AF47" s="14" t="s">
        <v>198</v>
      </c>
      <c r="AG47" s="14" t="s">
        <v>188</v>
      </c>
      <c r="AH47" s="14"/>
      <c r="AI47" s="14" t="s">
        <v>173</v>
      </c>
      <c r="AJ47" s="14"/>
      <c r="AK47" s="16" t="s">
        <v>184</v>
      </c>
    </row>
    <row r="48" spans="1:37" ht="40.200000000000003" customHeight="1" x14ac:dyDescent="0.4">
      <c r="A48" s="12" t="s">
        <v>551</v>
      </c>
      <c r="B48" s="12">
        <v>16</v>
      </c>
      <c r="C48" s="72"/>
      <c r="D48" s="13" t="s">
        <v>190</v>
      </c>
      <c r="E48" s="14" t="s">
        <v>199</v>
      </c>
      <c r="F48" s="14"/>
      <c r="G48" s="14" t="s">
        <v>199</v>
      </c>
      <c r="H48" s="14"/>
      <c r="I48" s="15" t="s">
        <v>200</v>
      </c>
      <c r="J48" s="13" t="s">
        <v>189</v>
      </c>
      <c r="K48" s="14"/>
      <c r="L48" s="14"/>
      <c r="M48" s="14" t="s">
        <v>199</v>
      </c>
      <c r="N48" s="14"/>
      <c r="O48" s="14" t="s">
        <v>193</v>
      </c>
      <c r="P48" s="15" t="s">
        <v>192</v>
      </c>
      <c r="Q48" s="13" t="s">
        <v>200</v>
      </c>
      <c r="R48" s="14"/>
      <c r="S48" s="14"/>
      <c r="T48" s="14" t="s">
        <v>199</v>
      </c>
      <c r="U48" s="80" t="s">
        <v>583</v>
      </c>
      <c r="V48" s="14" t="s">
        <v>563</v>
      </c>
      <c r="W48" s="16" t="s">
        <v>563</v>
      </c>
      <c r="X48" s="17" t="s">
        <v>200</v>
      </c>
      <c r="Y48" s="14"/>
      <c r="Z48" s="14" t="s">
        <v>196</v>
      </c>
      <c r="AA48" s="14" t="s">
        <v>194</v>
      </c>
      <c r="AB48" s="14"/>
      <c r="AC48" s="14"/>
      <c r="AD48" s="89" t="s">
        <v>583</v>
      </c>
      <c r="AE48" s="17"/>
      <c r="AF48" s="14"/>
      <c r="AG48" s="14" t="s">
        <v>197</v>
      </c>
      <c r="AH48" s="14"/>
      <c r="AI48" s="14"/>
      <c r="AJ48" s="14" t="s">
        <v>200</v>
      </c>
      <c r="AK48" s="16" t="s">
        <v>195</v>
      </c>
    </row>
    <row r="49" spans="1:37" ht="40.200000000000003" customHeight="1" thickBot="1" x14ac:dyDescent="0.45">
      <c r="A49" s="22" t="s">
        <v>552</v>
      </c>
      <c r="B49" s="22">
        <v>12</v>
      </c>
      <c r="C49" s="74"/>
      <c r="D49" s="23" t="s">
        <v>201</v>
      </c>
      <c r="E49" s="24"/>
      <c r="F49" s="24"/>
      <c r="G49" s="24"/>
      <c r="H49" s="24" t="s">
        <v>202</v>
      </c>
      <c r="I49" s="25"/>
      <c r="J49" s="23"/>
      <c r="K49" s="24" t="s">
        <v>202</v>
      </c>
      <c r="L49" s="24" t="s">
        <v>203</v>
      </c>
      <c r="M49" s="24"/>
      <c r="N49" s="24" t="s">
        <v>201</v>
      </c>
      <c r="O49" s="24" t="s">
        <v>202</v>
      </c>
      <c r="P49" s="25"/>
      <c r="Q49" s="23"/>
      <c r="R49" s="24"/>
      <c r="S49" s="24" t="s">
        <v>202</v>
      </c>
      <c r="T49" s="24"/>
      <c r="U49" s="24" t="s">
        <v>203</v>
      </c>
      <c r="V49" s="24" t="s">
        <v>563</v>
      </c>
      <c r="W49" s="26" t="s">
        <v>563</v>
      </c>
      <c r="X49" s="27"/>
      <c r="Y49" s="24" t="s">
        <v>203</v>
      </c>
      <c r="Z49" s="24"/>
      <c r="AA49" s="24"/>
      <c r="AB49" s="24" t="s">
        <v>201</v>
      </c>
      <c r="AC49" s="24"/>
      <c r="AD49" s="26"/>
      <c r="AE49" s="27"/>
      <c r="AF49" s="24"/>
      <c r="AG49" s="24"/>
      <c r="AH49" s="24"/>
      <c r="AI49" s="24" t="s">
        <v>203</v>
      </c>
      <c r="AJ49" s="24"/>
      <c r="AK49" s="26" t="s">
        <v>201</v>
      </c>
    </row>
    <row r="50" spans="1:37" ht="40.200000000000003" customHeight="1" x14ac:dyDescent="0.4">
      <c r="A50" s="77" t="s">
        <v>553</v>
      </c>
      <c r="B50" s="77">
        <v>16</v>
      </c>
      <c r="C50" s="78" t="s">
        <v>291</v>
      </c>
      <c r="D50" s="79" t="s">
        <v>204</v>
      </c>
      <c r="E50" s="80"/>
      <c r="F50" s="80"/>
      <c r="G50" s="80" t="s">
        <v>205</v>
      </c>
      <c r="H50" s="80" t="s">
        <v>206</v>
      </c>
      <c r="I50" s="87"/>
      <c r="J50" s="79" t="s">
        <v>207</v>
      </c>
      <c r="K50" s="80"/>
      <c r="L50" s="80" t="s">
        <v>208</v>
      </c>
      <c r="M50" s="80"/>
      <c r="N50" s="80" t="s">
        <v>209</v>
      </c>
      <c r="O50" s="80"/>
      <c r="P50" s="87" t="s">
        <v>210</v>
      </c>
      <c r="Q50" s="79"/>
      <c r="R50" s="80" t="s">
        <v>207</v>
      </c>
      <c r="S50" s="80"/>
      <c r="T50" s="80" t="s">
        <v>208</v>
      </c>
      <c r="U50" s="80"/>
      <c r="V50" s="80" t="s">
        <v>563</v>
      </c>
      <c r="W50" s="89" t="s">
        <v>563</v>
      </c>
      <c r="X50" s="91" t="s">
        <v>204</v>
      </c>
      <c r="Y50" s="80" t="s">
        <v>206</v>
      </c>
      <c r="Z50" s="80"/>
      <c r="AA50" s="80" t="s">
        <v>209</v>
      </c>
      <c r="AB50" s="80"/>
      <c r="AC50" s="80" t="s">
        <v>211</v>
      </c>
      <c r="AD50" s="89"/>
      <c r="AE50" s="91"/>
      <c r="AF50" s="80" t="s">
        <v>205</v>
      </c>
      <c r="AG50" s="80" t="s">
        <v>211</v>
      </c>
      <c r="AH50" s="80"/>
      <c r="AI50" s="80" t="s">
        <v>210</v>
      </c>
      <c r="AJ50" s="80"/>
      <c r="AK50" s="89"/>
    </row>
    <row r="51" spans="1:37" ht="40.200000000000003" customHeight="1" x14ac:dyDescent="0.4">
      <c r="A51" s="12" t="s">
        <v>554</v>
      </c>
      <c r="B51" s="12">
        <v>15</v>
      </c>
      <c r="C51" s="72"/>
      <c r="D51" s="13" t="s">
        <v>212</v>
      </c>
      <c r="E51" s="14"/>
      <c r="F51" s="14" t="s">
        <v>213</v>
      </c>
      <c r="G51" s="14"/>
      <c r="H51" s="14" t="s">
        <v>75</v>
      </c>
      <c r="I51" s="15" t="s">
        <v>214</v>
      </c>
      <c r="J51" s="13"/>
      <c r="K51" s="14" t="s">
        <v>214</v>
      </c>
      <c r="L51" s="14"/>
      <c r="M51" s="14" t="s">
        <v>215</v>
      </c>
      <c r="N51" s="14"/>
      <c r="O51" s="14"/>
      <c r="P51" s="15" t="s">
        <v>212</v>
      </c>
      <c r="Q51" s="13"/>
      <c r="R51" s="14"/>
      <c r="S51" s="14" t="s">
        <v>216</v>
      </c>
      <c r="T51" s="14"/>
      <c r="U51" s="80" t="s">
        <v>583</v>
      </c>
      <c r="V51" s="14" t="s">
        <v>563</v>
      </c>
      <c r="W51" s="16" t="s">
        <v>563</v>
      </c>
      <c r="X51" s="17"/>
      <c r="Y51" s="14"/>
      <c r="Z51" s="14" t="s">
        <v>57</v>
      </c>
      <c r="AA51" s="14" t="s">
        <v>217</v>
      </c>
      <c r="AB51" s="14"/>
      <c r="AC51" s="14" t="s">
        <v>216</v>
      </c>
      <c r="AD51" s="16" t="s">
        <v>218</v>
      </c>
      <c r="AE51" s="17"/>
      <c r="AF51" s="14" t="s">
        <v>218</v>
      </c>
      <c r="AG51" s="14"/>
      <c r="AH51" s="50" t="s">
        <v>579</v>
      </c>
      <c r="AI51" s="14" t="s">
        <v>215</v>
      </c>
      <c r="AJ51" s="14"/>
      <c r="AK51" s="16"/>
    </row>
    <row r="52" spans="1:37" ht="40.200000000000003" customHeight="1" thickBot="1" x14ac:dyDescent="0.45">
      <c r="A52" s="22" t="s">
        <v>555</v>
      </c>
      <c r="B52" s="22">
        <v>15</v>
      </c>
      <c r="C52" s="74"/>
      <c r="D52" s="23"/>
      <c r="E52" s="24" t="s">
        <v>219</v>
      </c>
      <c r="F52" s="24"/>
      <c r="G52" s="24"/>
      <c r="H52" s="24" t="s">
        <v>220</v>
      </c>
      <c r="I52" s="25"/>
      <c r="J52" s="23" t="s">
        <v>221</v>
      </c>
      <c r="K52" s="24"/>
      <c r="L52" s="24" t="s">
        <v>222</v>
      </c>
      <c r="M52" s="24"/>
      <c r="N52" s="24" t="s">
        <v>223</v>
      </c>
      <c r="O52" s="24" t="s">
        <v>224</v>
      </c>
      <c r="P52" s="87" t="s">
        <v>583</v>
      </c>
      <c r="Q52" s="23"/>
      <c r="R52" s="24" t="s">
        <v>86</v>
      </c>
      <c r="S52" s="24"/>
      <c r="T52" s="24" t="s">
        <v>225</v>
      </c>
      <c r="U52" s="24" t="s">
        <v>583</v>
      </c>
      <c r="V52" s="24" t="s">
        <v>563</v>
      </c>
      <c r="W52" s="26" t="s">
        <v>563</v>
      </c>
      <c r="X52" s="27"/>
      <c r="Y52" s="24" t="s">
        <v>225</v>
      </c>
      <c r="Z52" s="24" t="s">
        <v>226</v>
      </c>
      <c r="AA52" s="24"/>
      <c r="AB52" s="24" t="s">
        <v>221</v>
      </c>
      <c r="AC52" s="24"/>
      <c r="AD52" s="26" t="s">
        <v>583</v>
      </c>
      <c r="AE52" s="27"/>
      <c r="AF52" s="24"/>
      <c r="AG52" s="24" t="s">
        <v>71</v>
      </c>
      <c r="AH52" s="110" t="s">
        <v>227</v>
      </c>
      <c r="AI52" s="24"/>
      <c r="AJ52" s="24" t="s">
        <v>224</v>
      </c>
      <c r="AK52" s="26" t="s">
        <v>228</v>
      </c>
    </row>
    <row r="53" spans="1:37" ht="40.200000000000003" customHeight="1" x14ac:dyDescent="0.4">
      <c r="A53" s="6" t="s">
        <v>556</v>
      </c>
      <c r="B53" s="6">
        <v>15</v>
      </c>
      <c r="C53" s="71" t="s">
        <v>292</v>
      </c>
      <c r="D53" s="53" t="s">
        <v>229</v>
      </c>
      <c r="E53" s="52" t="s">
        <v>229</v>
      </c>
      <c r="F53" s="8"/>
      <c r="G53" s="21" t="s">
        <v>570</v>
      </c>
      <c r="H53" s="8"/>
      <c r="I53" s="39" t="s">
        <v>230</v>
      </c>
      <c r="J53" s="7"/>
      <c r="K53" s="44" t="s">
        <v>230</v>
      </c>
      <c r="L53" s="8"/>
      <c r="M53" s="21" t="s">
        <v>570</v>
      </c>
      <c r="N53" s="8"/>
      <c r="O53" s="8"/>
      <c r="P53" s="87" t="s">
        <v>583</v>
      </c>
      <c r="Q53" s="45" t="s">
        <v>230</v>
      </c>
      <c r="R53" s="21" t="s">
        <v>570</v>
      </c>
      <c r="S53" s="8"/>
      <c r="T53" s="8"/>
      <c r="U53" s="80" t="s">
        <v>583</v>
      </c>
      <c r="V53" s="80" t="s">
        <v>563</v>
      </c>
      <c r="W53" s="89" t="s">
        <v>563</v>
      </c>
      <c r="X53" s="11"/>
      <c r="Y53" s="44" t="s">
        <v>230</v>
      </c>
      <c r="Z53" s="8"/>
      <c r="AA53" s="52" t="s">
        <v>231</v>
      </c>
      <c r="AB53" s="8"/>
      <c r="AC53" s="8" t="s">
        <v>232</v>
      </c>
      <c r="AD53" s="89" t="s">
        <v>583</v>
      </c>
      <c r="AE53" s="11"/>
      <c r="AF53" s="21" t="s">
        <v>570</v>
      </c>
      <c r="AG53" s="8"/>
      <c r="AH53" s="8" t="s">
        <v>233</v>
      </c>
      <c r="AI53" s="8"/>
      <c r="AJ53" s="8" t="s">
        <v>234</v>
      </c>
      <c r="AK53" s="10" t="s">
        <v>235</v>
      </c>
    </row>
    <row r="54" spans="1:37" ht="40.200000000000003" customHeight="1" x14ac:dyDescent="0.4">
      <c r="A54" s="77" t="s">
        <v>557</v>
      </c>
      <c r="B54" s="77">
        <v>11</v>
      </c>
      <c r="C54" s="78"/>
      <c r="D54" s="111" t="s">
        <v>231</v>
      </c>
      <c r="E54" s="112" t="s">
        <v>231</v>
      </c>
      <c r="F54" s="80"/>
      <c r="G54" s="80" t="s">
        <v>232</v>
      </c>
      <c r="H54" s="80"/>
      <c r="I54" s="80" t="s">
        <v>234</v>
      </c>
      <c r="J54" s="79"/>
      <c r="K54" s="80" t="s">
        <v>235</v>
      </c>
      <c r="L54" s="80"/>
      <c r="M54" s="80" t="s">
        <v>233</v>
      </c>
      <c r="N54" s="80"/>
      <c r="O54" s="80" t="s">
        <v>234</v>
      </c>
      <c r="P54" s="87" t="s">
        <v>232</v>
      </c>
      <c r="Q54" s="79"/>
      <c r="R54" s="80"/>
      <c r="S54" s="80"/>
      <c r="T54" s="80"/>
      <c r="U54" s="80"/>
      <c r="V54" s="14" t="s">
        <v>563</v>
      </c>
      <c r="W54" s="16" t="s">
        <v>563</v>
      </c>
      <c r="X54" s="91" t="s">
        <v>235</v>
      </c>
      <c r="Y54" s="80" t="s">
        <v>233</v>
      </c>
      <c r="Z54" s="80"/>
      <c r="AA54" s="112" t="s">
        <v>229</v>
      </c>
      <c r="AB54" s="80"/>
      <c r="AC54" s="80"/>
      <c r="AD54" s="89"/>
      <c r="AE54" s="91"/>
      <c r="AF54" s="80"/>
      <c r="AG54" s="80"/>
      <c r="AH54" s="80"/>
      <c r="AI54" s="80"/>
      <c r="AJ54" s="80"/>
      <c r="AK54" s="89"/>
    </row>
    <row r="55" spans="1:37" ht="40.200000000000003" customHeight="1" thickBot="1" x14ac:dyDescent="0.45">
      <c r="A55" s="22" t="s">
        <v>558</v>
      </c>
      <c r="B55" s="22">
        <v>6</v>
      </c>
      <c r="C55" s="74"/>
      <c r="D55" s="113" t="s">
        <v>236</v>
      </c>
      <c r="E55" s="114" t="s">
        <v>236</v>
      </c>
      <c r="F55" s="24" t="s">
        <v>237</v>
      </c>
      <c r="G55" s="24" t="s">
        <v>237</v>
      </c>
      <c r="H55" s="24"/>
      <c r="I55" s="25"/>
      <c r="J55" s="23"/>
      <c r="K55" s="24"/>
      <c r="L55" s="24"/>
      <c r="M55" s="24"/>
      <c r="N55" s="24"/>
      <c r="O55" s="24"/>
      <c r="P55" s="25"/>
      <c r="Q55" s="23"/>
      <c r="R55" s="24"/>
      <c r="S55" s="24"/>
      <c r="T55" s="24"/>
      <c r="U55" s="24"/>
      <c r="V55" s="24" t="s">
        <v>563</v>
      </c>
      <c r="W55" s="26" t="s">
        <v>563</v>
      </c>
      <c r="X55" s="27"/>
      <c r="Y55" s="24"/>
      <c r="Z55" s="24" t="s">
        <v>237</v>
      </c>
      <c r="AA55" s="114" t="s">
        <v>236</v>
      </c>
      <c r="AB55" s="24"/>
      <c r="AC55" s="24"/>
      <c r="AD55" s="26"/>
      <c r="AE55" s="27"/>
      <c r="AF55" s="24"/>
      <c r="AG55" s="24"/>
      <c r="AH55" s="24"/>
      <c r="AI55" s="24"/>
      <c r="AJ55" s="24"/>
      <c r="AK55" s="26"/>
    </row>
    <row r="56" spans="1:37" ht="40.200000000000003" customHeight="1" x14ac:dyDescent="0.4">
      <c r="A56" s="77" t="s">
        <v>559</v>
      </c>
      <c r="B56" s="77">
        <v>18</v>
      </c>
      <c r="C56" s="78"/>
      <c r="D56" s="79"/>
      <c r="E56" s="80"/>
      <c r="F56" s="80" t="s">
        <v>238</v>
      </c>
      <c r="G56" s="80" t="s">
        <v>238</v>
      </c>
      <c r="H56" s="80"/>
      <c r="I56" s="87" t="s">
        <v>239</v>
      </c>
      <c r="J56" s="79" t="s">
        <v>240</v>
      </c>
      <c r="K56" s="80" t="s">
        <v>240</v>
      </c>
      <c r="L56" s="103" t="s">
        <v>241</v>
      </c>
      <c r="M56" s="80"/>
      <c r="N56" s="80" t="s">
        <v>242</v>
      </c>
      <c r="O56" s="80" t="s">
        <v>242</v>
      </c>
      <c r="P56" s="87"/>
      <c r="Q56" s="105" t="s">
        <v>241</v>
      </c>
      <c r="R56" s="80"/>
      <c r="S56" s="80" t="s">
        <v>243</v>
      </c>
      <c r="T56" s="80" t="s">
        <v>243</v>
      </c>
      <c r="U56" s="80"/>
      <c r="V56" s="80" t="s">
        <v>563</v>
      </c>
      <c r="W56" s="89" t="s">
        <v>563</v>
      </c>
      <c r="X56" s="91" t="s">
        <v>244</v>
      </c>
      <c r="Y56" s="80" t="s">
        <v>244</v>
      </c>
      <c r="Z56" s="80"/>
      <c r="AA56" s="80"/>
      <c r="AB56" s="80"/>
      <c r="AC56" s="80" t="s">
        <v>245</v>
      </c>
      <c r="AD56" s="89" t="s">
        <v>245</v>
      </c>
      <c r="AE56" s="106" t="s">
        <v>241</v>
      </c>
      <c r="AF56" s="80"/>
      <c r="AG56" s="80" t="s">
        <v>246</v>
      </c>
      <c r="AH56" s="80" t="s">
        <v>246</v>
      </c>
      <c r="AI56" s="80"/>
      <c r="AJ56" s="80"/>
      <c r="AK56" s="89"/>
    </row>
    <row r="57" spans="1:37" ht="40.200000000000003" customHeight="1" x14ac:dyDescent="0.4">
      <c r="A57" s="12" t="s">
        <v>560</v>
      </c>
      <c r="B57" s="12">
        <v>9</v>
      </c>
      <c r="C57" s="72"/>
      <c r="D57" s="13"/>
      <c r="E57" s="14" t="s">
        <v>245</v>
      </c>
      <c r="F57" s="14" t="s">
        <v>246</v>
      </c>
      <c r="G57" s="14" t="s">
        <v>240</v>
      </c>
      <c r="H57" s="14"/>
      <c r="I57" s="15"/>
      <c r="J57" s="13"/>
      <c r="K57" s="14" t="s">
        <v>243</v>
      </c>
      <c r="L57" s="14" t="s">
        <v>239</v>
      </c>
      <c r="M57" s="14" t="s">
        <v>238</v>
      </c>
      <c r="N57" s="14"/>
      <c r="O57" s="14"/>
      <c r="P57" s="15"/>
      <c r="Q57" s="13"/>
      <c r="R57" s="14"/>
      <c r="S57" s="14"/>
      <c r="T57" s="14"/>
      <c r="U57" s="14"/>
      <c r="V57" s="14" t="s">
        <v>563</v>
      </c>
      <c r="W57" s="16" t="s">
        <v>563</v>
      </c>
      <c r="X57" s="17"/>
      <c r="Y57" s="14"/>
      <c r="Z57" s="14"/>
      <c r="AA57" s="14"/>
      <c r="AB57" s="14"/>
      <c r="AC57" s="14"/>
      <c r="AD57" s="16"/>
      <c r="AE57" s="17"/>
      <c r="AF57" s="14" t="s">
        <v>239</v>
      </c>
      <c r="AG57" s="14" t="s">
        <v>244</v>
      </c>
      <c r="AH57" s="14" t="s">
        <v>242</v>
      </c>
      <c r="AI57" s="14"/>
      <c r="AJ57" s="14"/>
      <c r="AK57" s="16"/>
    </row>
    <row r="58" spans="1:37" ht="40.200000000000003" customHeight="1" x14ac:dyDescent="0.4">
      <c r="A58" s="12" t="s">
        <v>561</v>
      </c>
      <c r="B58" s="12">
        <v>16</v>
      </c>
      <c r="C58" s="72" t="s">
        <v>293</v>
      </c>
      <c r="D58" s="32" t="s">
        <v>568</v>
      </c>
      <c r="E58" s="14"/>
      <c r="F58" s="36" t="s">
        <v>575</v>
      </c>
      <c r="G58" s="18" t="s">
        <v>576</v>
      </c>
      <c r="H58" s="14"/>
      <c r="I58" s="15"/>
      <c r="J58" s="37" t="s">
        <v>575</v>
      </c>
      <c r="K58" s="14"/>
      <c r="L58" s="14"/>
      <c r="M58" s="18" t="s">
        <v>576</v>
      </c>
      <c r="N58" s="14"/>
      <c r="O58" s="48" t="s">
        <v>572</v>
      </c>
      <c r="P58" s="87" t="s">
        <v>583</v>
      </c>
      <c r="Q58" s="13"/>
      <c r="R58" s="18" t="s">
        <v>576</v>
      </c>
      <c r="S58" s="48" t="s">
        <v>572</v>
      </c>
      <c r="T58" s="34" t="s">
        <v>568</v>
      </c>
      <c r="U58" s="80" t="s">
        <v>583</v>
      </c>
      <c r="V58" s="14" t="s">
        <v>563</v>
      </c>
      <c r="W58" s="16" t="s">
        <v>563</v>
      </c>
      <c r="X58" s="37" t="s">
        <v>575</v>
      </c>
      <c r="Y58" s="14"/>
      <c r="Z58" s="14"/>
      <c r="AA58" s="14"/>
      <c r="AB58" s="48" t="s">
        <v>572</v>
      </c>
      <c r="AC58" s="34" t="s">
        <v>568</v>
      </c>
      <c r="AD58" s="89" t="s">
        <v>583</v>
      </c>
      <c r="AE58" s="37" t="s">
        <v>575</v>
      </c>
      <c r="AF58" s="18" t="s">
        <v>576</v>
      </c>
      <c r="AG58" s="14"/>
      <c r="AH58" s="14"/>
      <c r="AI58" s="48" t="s">
        <v>572</v>
      </c>
      <c r="AJ58" s="34" t="s">
        <v>568</v>
      </c>
      <c r="AK58" s="16"/>
    </row>
    <row r="59" spans="1:37" ht="40.200000000000003" customHeight="1" thickBot="1" x14ac:dyDescent="0.45">
      <c r="A59" s="22" t="s">
        <v>562</v>
      </c>
      <c r="B59" s="22">
        <v>8</v>
      </c>
      <c r="C59" s="74"/>
      <c r="D59" s="23"/>
      <c r="E59" s="24"/>
      <c r="F59" s="24"/>
      <c r="G59" s="24" t="s">
        <v>247</v>
      </c>
      <c r="H59" s="24"/>
      <c r="I59" s="25"/>
      <c r="J59" s="23"/>
      <c r="K59" s="24"/>
      <c r="L59" s="24" t="s">
        <v>248</v>
      </c>
      <c r="M59" s="24" t="s">
        <v>249</v>
      </c>
      <c r="N59" s="24"/>
      <c r="O59" s="24"/>
      <c r="P59" s="25"/>
      <c r="Q59" s="23"/>
      <c r="R59" s="24" t="s">
        <v>250</v>
      </c>
      <c r="S59" s="24"/>
      <c r="T59" s="24"/>
      <c r="U59" s="24"/>
      <c r="V59" s="24" t="s">
        <v>563</v>
      </c>
      <c r="W59" s="26" t="s">
        <v>563</v>
      </c>
      <c r="X59" s="27"/>
      <c r="Y59" s="24"/>
      <c r="Z59" s="24" t="s">
        <v>251</v>
      </c>
      <c r="AA59" s="24" t="s">
        <v>252</v>
      </c>
      <c r="AB59" s="24"/>
      <c r="AC59" s="24"/>
      <c r="AD59" s="26"/>
      <c r="AE59" s="27"/>
      <c r="AF59" s="24" t="s">
        <v>253</v>
      </c>
      <c r="AG59" s="24"/>
      <c r="AH59" s="24"/>
      <c r="AI59" s="24"/>
      <c r="AJ59" s="24"/>
      <c r="AK59" s="26" t="s">
        <v>254</v>
      </c>
    </row>
    <row r="60" spans="1:37" ht="30" customHeight="1" x14ac:dyDescent="0.4">
      <c r="A60" s="77" t="s">
        <v>255</v>
      </c>
      <c r="B60" s="77"/>
      <c r="C60" s="78"/>
      <c r="D60" s="79"/>
      <c r="E60" s="80" t="s">
        <v>256</v>
      </c>
      <c r="F60" s="80"/>
      <c r="G60" s="80"/>
      <c r="H60" s="80"/>
      <c r="I60" s="87"/>
      <c r="J60" s="79"/>
      <c r="K60" s="80"/>
      <c r="L60" s="80" t="s">
        <v>257</v>
      </c>
      <c r="M60" s="80"/>
      <c r="N60" s="80"/>
      <c r="O60" s="80"/>
      <c r="P60" s="87"/>
      <c r="Q60" s="79"/>
      <c r="R60" s="80"/>
      <c r="S60" s="80"/>
      <c r="T60" s="80"/>
      <c r="U60" s="80"/>
      <c r="V60" s="80"/>
      <c r="W60" s="87"/>
      <c r="X60" s="79"/>
      <c r="Y60" s="80"/>
      <c r="Z60" s="80"/>
      <c r="AA60" s="80" t="s">
        <v>258</v>
      </c>
      <c r="AB60" s="80"/>
      <c r="AC60" s="80"/>
      <c r="AD60" s="89"/>
      <c r="AE60" s="91"/>
      <c r="AF60" s="80"/>
      <c r="AG60" s="80" t="s">
        <v>259</v>
      </c>
      <c r="AH60" s="80"/>
      <c r="AI60" s="80"/>
      <c r="AJ60" s="80"/>
      <c r="AK60" s="89"/>
    </row>
    <row r="61" spans="1:37" ht="30" customHeight="1" x14ac:dyDescent="0.4">
      <c r="A61" s="12" t="s">
        <v>260</v>
      </c>
      <c r="B61" s="12"/>
      <c r="C61" s="72"/>
      <c r="D61" s="13"/>
      <c r="E61" s="14"/>
      <c r="F61" s="14"/>
      <c r="G61" s="14"/>
      <c r="H61" s="14" t="s">
        <v>258</v>
      </c>
      <c r="I61" s="15"/>
      <c r="J61" s="13"/>
      <c r="K61" s="14"/>
      <c r="L61" s="14"/>
      <c r="M61" s="14"/>
      <c r="N61" s="14" t="s">
        <v>259</v>
      </c>
      <c r="O61" s="14"/>
      <c r="P61" s="15"/>
      <c r="Q61" s="13"/>
      <c r="R61" s="14"/>
      <c r="S61" s="14"/>
      <c r="T61" s="14"/>
      <c r="U61" s="14"/>
      <c r="V61" s="14"/>
      <c r="W61" s="15"/>
      <c r="X61" s="13"/>
      <c r="Y61" s="14"/>
      <c r="Z61" s="14" t="s">
        <v>256</v>
      </c>
      <c r="AA61" s="14"/>
      <c r="AB61" s="14"/>
      <c r="AC61" s="14"/>
      <c r="AD61" s="16"/>
      <c r="AE61" s="17"/>
      <c r="AF61" s="14"/>
      <c r="AG61" s="14" t="s">
        <v>257</v>
      </c>
      <c r="AH61" s="14"/>
      <c r="AI61" s="14"/>
      <c r="AJ61" s="14"/>
      <c r="AK61" s="16"/>
    </row>
    <row r="62" spans="1:37" ht="30" customHeight="1" x14ac:dyDescent="0.4">
      <c r="A62" s="12" t="s">
        <v>261</v>
      </c>
      <c r="B62" s="12"/>
      <c r="C62" s="72"/>
      <c r="D62" s="13"/>
      <c r="E62" s="14" t="s">
        <v>262</v>
      </c>
      <c r="F62" s="14"/>
      <c r="G62" s="14"/>
      <c r="H62" s="14"/>
      <c r="I62" s="15"/>
      <c r="J62" s="13"/>
      <c r="K62" s="14"/>
      <c r="L62" s="14"/>
      <c r="M62" s="14"/>
      <c r="N62" s="14" t="s">
        <v>263</v>
      </c>
      <c r="O62" s="14"/>
      <c r="P62" s="15"/>
      <c r="Q62" s="13"/>
      <c r="R62" s="14"/>
      <c r="S62" s="14"/>
      <c r="T62" s="14"/>
      <c r="U62" s="14"/>
      <c r="V62" s="14"/>
      <c r="W62" s="15"/>
      <c r="X62" s="13"/>
      <c r="Y62" s="14"/>
      <c r="Z62" s="14" t="s">
        <v>264</v>
      </c>
      <c r="AA62" s="14" t="s">
        <v>265</v>
      </c>
      <c r="AB62" s="14"/>
      <c r="AC62" s="14"/>
      <c r="AD62" s="16"/>
      <c r="AE62" s="17"/>
      <c r="AF62" s="14"/>
      <c r="AG62" s="14" t="s">
        <v>264</v>
      </c>
      <c r="AH62" s="14"/>
      <c r="AI62" s="14"/>
      <c r="AJ62" s="14"/>
      <c r="AK62" s="16"/>
    </row>
    <row r="63" spans="1:37" ht="30" customHeight="1" thickBot="1" x14ac:dyDescent="0.45">
      <c r="A63" s="22" t="s">
        <v>266</v>
      </c>
      <c r="B63" s="22"/>
      <c r="C63" s="74"/>
      <c r="D63" s="23"/>
      <c r="E63" s="24" t="s">
        <v>263</v>
      </c>
      <c r="F63" s="24"/>
      <c r="G63" s="24"/>
      <c r="H63" s="24"/>
      <c r="I63" s="25"/>
      <c r="J63" s="23"/>
      <c r="K63" s="24"/>
      <c r="L63" s="24"/>
      <c r="M63" s="24"/>
      <c r="N63" s="24"/>
      <c r="O63" s="24"/>
      <c r="P63" s="25"/>
      <c r="Q63" s="23"/>
      <c r="R63" s="24"/>
      <c r="S63" s="24"/>
      <c r="T63" s="24"/>
      <c r="U63" s="24"/>
      <c r="V63" s="24"/>
      <c r="W63" s="25"/>
      <c r="X63" s="23"/>
      <c r="Y63" s="24"/>
      <c r="Z63" s="24"/>
      <c r="AA63" s="24" t="s">
        <v>264</v>
      </c>
      <c r="AB63" s="24"/>
      <c r="AC63" s="24"/>
      <c r="AD63" s="26"/>
      <c r="AE63" s="27"/>
      <c r="AF63" s="24"/>
      <c r="AG63" s="24" t="s">
        <v>265</v>
      </c>
      <c r="AH63" s="24"/>
      <c r="AI63" s="24"/>
      <c r="AJ63" s="24"/>
      <c r="AK63" s="26" t="s">
        <v>262</v>
      </c>
    </row>
    <row r="64" spans="1:37" ht="13.8" thickBot="1" x14ac:dyDescent="0.45">
      <c r="A64" s="29"/>
      <c r="B64" s="30"/>
      <c r="C64" s="75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1"/>
    </row>
  </sheetData>
  <mergeCells count="9">
    <mergeCell ref="A1:AK1"/>
    <mergeCell ref="A2:A3"/>
    <mergeCell ref="D2:I2"/>
    <mergeCell ref="J2:P2"/>
    <mergeCell ref="Q2:W2"/>
    <mergeCell ref="X2:AD2"/>
    <mergeCell ref="AE2:AK2"/>
    <mergeCell ref="C2:C3"/>
    <mergeCell ref="B2:B3"/>
  </mergeCells>
  <phoneticPr fontId="3" type="noConversion"/>
  <pageMargins left="0.7" right="0.7" top="0.75" bottom="0.75" header="0.3" footer="0.3"/>
  <pageSetup paperSize="12" scale="3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94CFB-11A6-4759-BA85-EB3764911139}">
  <dimension ref="B1:G11"/>
  <sheetViews>
    <sheetView zoomScaleNormal="100" workbookViewId="0">
      <selection activeCell="F3" sqref="F3:G3"/>
    </sheetView>
  </sheetViews>
  <sheetFormatPr defaultRowHeight="17.399999999999999" x14ac:dyDescent="0.4"/>
  <cols>
    <col min="3" max="7" width="10.8984375" customWidth="1"/>
  </cols>
  <sheetData>
    <row r="1" spans="2:7" ht="18" thickBot="1" x14ac:dyDescent="0.45"/>
    <row r="2" spans="2:7" ht="26.4" thickBot="1" x14ac:dyDescent="0.45">
      <c r="B2" s="166" t="s">
        <v>600</v>
      </c>
      <c r="C2" s="167"/>
      <c r="D2" s="167"/>
      <c r="E2" s="167"/>
      <c r="F2" s="167"/>
      <c r="G2" s="168"/>
    </row>
    <row r="3" spans="2:7" ht="18" thickBot="1" x14ac:dyDescent="0.45">
      <c r="E3" s="127" t="s">
        <v>504</v>
      </c>
      <c r="F3" s="169" t="s">
        <v>505</v>
      </c>
      <c r="G3" s="170"/>
    </row>
    <row r="4" spans="2:7" ht="21.6" thickBot="1" x14ac:dyDescent="0.45">
      <c r="B4" s="128"/>
      <c r="C4" s="129" t="s">
        <v>1</v>
      </c>
      <c r="D4" s="130" t="s">
        <v>2</v>
      </c>
      <c r="E4" s="130" t="s">
        <v>3</v>
      </c>
      <c r="F4" s="130" t="s">
        <v>4</v>
      </c>
      <c r="G4" s="131" t="s">
        <v>5</v>
      </c>
    </row>
    <row r="5" spans="2:7" ht="39.6" customHeight="1" thickTop="1" x14ac:dyDescent="0.4">
      <c r="B5" s="132">
        <v>1</v>
      </c>
      <c r="C5" s="133" t="str">
        <f>VLOOKUP($F$3,전체교사시간표!$A$4:$AK$63,4,0)</f>
        <v>102_x000D_
국어</v>
      </c>
      <c r="D5" s="133">
        <f>VLOOKUP($F$3,전체교사시간표!$A$4:$AK$63,10,0)</f>
        <v>0</v>
      </c>
      <c r="E5" s="133" t="str">
        <f>VLOOKUP($F$3,전체교사시간표!$A$4:$AK$63,17,0)</f>
        <v>108_x000D_
국어</v>
      </c>
      <c r="F5" s="133">
        <f>VLOOKUP($F$3,전체교사시간표!$A$4:$AK$63,24,0)</f>
        <v>0</v>
      </c>
      <c r="G5" s="134" t="str">
        <f>VLOOKUP($F$3,전체교사시간표!$A$4:$AK$63,31,0)</f>
        <v>103_x000D_
국어</v>
      </c>
    </row>
    <row r="6" spans="2:7" ht="39.6" customHeight="1" x14ac:dyDescent="0.4">
      <c r="B6" s="135">
        <v>2</v>
      </c>
      <c r="C6" s="133">
        <f>VLOOKUP($F$3,전체교사시간표!$A$4:$AJ$63,5,0)</f>
        <v>0</v>
      </c>
      <c r="D6" s="133">
        <f>VLOOKUP($F$3,전체교사시간표!$A$4:$AK$63,11,0)</f>
        <v>0</v>
      </c>
      <c r="E6" s="133">
        <f>VLOOKUP($F$3,전체교사시간표!$A$4:$AK$63,18,0)</f>
        <v>0</v>
      </c>
      <c r="F6" s="133" t="str">
        <f>VLOOKUP($F$3,전체교사시간표!$A$4:$AK$63,25,0)</f>
        <v>103_x000D_
국어</v>
      </c>
      <c r="G6" s="134">
        <f>VLOOKUP($F$3,전체교사시간표!$A$4:$AK$63,32,0)</f>
        <v>0</v>
      </c>
    </row>
    <row r="7" spans="2:7" ht="39.6" customHeight="1" x14ac:dyDescent="0.4">
      <c r="B7" s="135">
        <v>3</v>
      </c>
      <c r="C7" s="133" t="str">
        <f>VLOOKUP($F$3,전체교사시간표!$A$4:$AK$63,6,0)</f>
        <v>107_x000D_
국어</v>
      </c>
      <c r="D7" s="133" t="str">
        <f>VLOOKUP($F$3,전체교사시간표!$A$4:$AK$63,12,0)</f>
        <v>106_x000D_
국어</v>
      </c>
      <c r="E7" s="133">
        <f>VLOOKUP($F$3,전체교사시간표!$A$4:$AK$63,19,0)</f>
        <v>0</v>
      </c>
      <c r="F7" s="133">
        <f>VLOOKUP($F$3,전체교사시간표!$A$4:$AK$63,26,0)</f>
        <v>0</v>
      </c>
      <c r="G7" s="134" t="str">
        <f>VLOOKUP($F$3,전체교사시간표!$A$4:$AK$63,33,0)</f>
        <v>107_x000D_
국어</v>
      </c>
    </row>
    <row r="8" spans="2:7" ht="39.6" customHeight="1" x14ac:dyDescent="0.4">
      <c r="B8" s="135">
        <v>4</v>
      </c>
      <c r="C8" s="133">
        <f>VLOOKUP($F$3,전체교사시간표!$A$4:$AK$63,7,0)</f>
        <v>0</v>
      </c>
      <c r="D8" s="133" t="str">
        <f>VLOOKUP($F$3,전체교사시간표!$A$4:$AK$63,13,0)</f>
        <v>104_x000D_
국어</v>
      </c>
      <c r="E8" s="133">
        <f>VLOOKUP($F$3,전체교사시간표!$A$4:$AK$63,20,0)</f>
        <v>0</v>
      </c>
      <c r="F8" s="133">
        <f>VLOOKUP($F$3,전체교사시간표!$A$4:$AK$63,27,0)</f>
        <v>0</v>
      </c>
      <c r="G8" s="134">
        <f>VLOOKUP($F$3,전체교사시간표!$A$4:$AK$63,34,0)</f>
        <v>0</v>
      </c>
    </row>
    <row r="9" spans="2:7" ht="39.6" customHeight="1" x14ac:dyDescent="0.4">
      <c r="B9" s="135">
        <v>5</v>
      </c>
      <c r="C9" s="133" t="str">
        <f>VLOOKUP($F$3,전체교사시간표!$A$4:$AK$63,8,0)</f>
        <v>105_x000D_
국어</v>
      </c>
      <c r="D9" s="133">
        <f>VLOOKUP($F$3,전체교사시간표!$A$4:$AK$63,14,0)</f>
        <v>0</v>
      </c>
      <c r="E9" s="133" t="str">
        <f>VLOOKUP($F$3,전체교사시간표!$A$4:$AK$63,21,0)</f>
        <v>101_x000D_
국어</v>
      </c>
      <c r="F9" s="133" t="str">
        <f>VLOOKUP($F$3,전체교사시간표!$A$4:$AK$63,28,0)</f>
        <v>102_x000D_
국어</v>
      </c>
      <c r="G9" s="134" t="str">
        <f>VLOOKUP($F$3,전체교사시간표!$A$4:$AK$63,35,0)</f>
        <v>104_x000D_
국어</v>
      </c>
    </row>
    <row r="10" spans="2:7" ht="39.6" customHeight="1" x14ac:dyDescent="0.4">
      <c r="B10" s="135">
        <v>6</v>
      </c>
      <c r="C10" s="133" t="str">
        <f>VLOOKUP($F$3,전체교사시간표!$A$4:$AK$63,9,0)</f>
        <v>101_x000D_
국어</v>
      </c>
      <c r="D10" s="133" t="str">
        <f>VLOOKUP($F$3,전체교사시간표!$A$4:$AK$63,15,0)</f>
        <v>105_x000D_
국어</v>
      </c>
      <c r="E10" s="133" t="str">
        <f>VLOOKUP($F$3,전체교사시간표!$A$4:$AK$63,22,0)</f>
        <v>창체</v>
      </c>
      <c r="F10" s="133" t="str">
        <f>VLOOKUP($F$3,전체교사시간표!$A$4:$AK$63,29,0)</f>
        <v>106_x000D_
국어</v>
      </c>
      <c r="G10" s="134" t="str">
        <f>VLOOKUP($F$3,전체교사시간표!$A$4:$AK$63,36,0)</f>
        <v>108_x000D_
국어</v>
      </c>
    </row>
    <row r="11" spans="2:7" ht="39.6" customHeight="1" thickBot="1" x14ac:dyDescent="0.45">
      <c r="B11" s="136">
        <v>7</v>
      </c>
      <c r="C11" s="137"/>
      <c r="D11" s="138">
        <f>VLOOKUP($F$3,전체교사시간표!$A$4:$AK$63,16,0)</f>
        <v>0</v>
      </c>
      <c r="E11" s="138" t="str">
        <f>VLOOKUP($F$3,전체교사시간표!$A$4:$AK$63,23,0)</f>
        <v>창체</v>
      </c>
      <c r="F11" s="138">
        <f>VLOOKUP($F$3,전체교사시간표!$A$4:$AK$63,30,0)</f>
        <v>0</v>
      </c>
      <c r="G11" s="139">
        <f>VLOOKUP($F$3,전체교사시간표!$A$4:$AK$63,37,0)</f>
        <v>0</v>
      </c>
    </row>
  </sheetData>
  <mergeCells count="2">
    <mergeCell ref="B2:G2"/>
    <mergeCell ref="F3:G3"/>
  </mergeCells>
  <phoneticPr fontId="3" type="noConversion"/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5FB0719-2A18-412B-B9B3-1837B5637D12}">
          <x14:formula1>
            <xm:f>전체교사시간표!$A$4:$A$59</xm:f>
          </x14:formula1>
          <xm:sqref>F3:G3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FB388-C156-4E80-9228-3592C0C293F2}">
  <sheetPr>
    <pageSetUpPr fitToPage="1"/>
  </sheetPr>
  <dimension ref="A1:AI33"/>
  <sheetViews>
    <sheetView zoomScale="60" zoomScaleNormal="6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G14" sqref="G14:G17"/>
    </sheetView>
  </sheetViews>
  <sheetFormatPr defaultRowHeight="13.2" x14ac:dyDescent="0.4"/>
  <cols>
    <col min="1" max="35" width="7.69921875" style="28" customWidth="1"/>
    <col min="36" max="16384" width="8.796875" style="28"/>
  </cols>
  <sheetData>
    <row r="1" spans="1:35" ht="42" customHeight="1" thickBot="1" x14ac:dyDescent="0.45">
      <c r="A1" s="171" t="s">
        <v>503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2"/>
      <c r="X1" s="172"/>
      <c r="Y1" s="172"/>
      <c r="Z1" s="172"/>
      <c r="AA1" s="172"/>
      <c r="AB1" s="172"/>
      <c r="AC1" s="172"/>
      <c r="AD1" s="172"/>
      <c r="AE1" s="172"/>
      <c r="AF1" s="172"/>
      <c r="AG1" s="172"/>
      <c r="AH1" s="172"/>
      <c r="AI1" s="172"/>
    </row>
    <row r="2" spans="1:35" ht="18" customHeight="1" x14ac:dyDescent="0.4">
      <c r="A2" s="173" t="s">
        <v>294</v>
      </c>
      <c r="B2" s="157" t="s">
        <v>1</v>
      </c>
      <c r="C2" s="158"/>
      <c r="D2" s="158"/>
      <c r="E2" s="158"/>
      <c r="F2" s="158"/>
      <c r="G2" s="159"/>
      <c r="H2" s="157" t="s">
        <v>2</v>
      </c>
      <c r="I2" s="158"/>
      <c r="J2" s="158"/>
      <c r="K2" s="158"/>
      <c r="L2" s="158"/>
      <c r="M2" s="158"/>
      <c r="N2" s="159"/>
      <c r="O2" s="157" t="s">
        <v>3</v>
      </c>
      <c r="P2" s="158"/>
      <c r="Q2" s="158"/>
      <c r="R2" s="158"/>
      <c r="S2" s="158"/>
      <c r="T2" s="158"/>
      <c r="U2" s="159"/>
      <c r="V2" s="157" t="s">
        <v>4</v>
      </c>
      <c r="W2" s="158"/>
      <c r="X2" s="158"/>
      <c r="Y2" s="158"/>
      <c r="Z2" s="158"/>
      <c r="AA2" s="158"/>
      <c r="AB2" s="160"/>
      <c r="AC2" s="161" t="s">
        <v>5</v>
      </c>
      <c r="AD2" s="158"/>
      <c r="AE2" s="158"/>
      <c r="AF2" s="158"/>
      <c r="AG2" s="158"/>
      <c r="AH2" s="158"/>
      <c r="AI2" s="160"/>
    </row>
    <row r="3" spans="1:35" ht="18" customHeight="1" thickBot="1" x14ac:dyDescent="0.45">
      <c r="A3" s="174"/>
      <c r="B3" s="1">
        <v>1</v>
      </c>
      <c r="C3" s="2">
        <v>2</v>
      </c>
      <c r="D3" s="2">
        <v>3</v>
      </c>
      <c r="E3" s="2">
        <v>4</v>
      </c>
      <c r="F3" s="2">
        <v>5</v>
      </c>
      <c r="G3" s="3">
        <v>6</v>
      </c>
      <c r="H3" s="1">
        <v>1</v>
      </c>
      <c r="I3" s="2">
        <v>2</v>
      </c>
      <c r="J3" s="2">
        <v>3</v>
      </c>
      <c r="K3" s="2">
        <v>4</v>
      </c>
      <c r="L3" s="2">
        <v>5</v>
      </c>
      <c r="M3" s="2">
        <v>6</v>
      </c>
      <c r="N3" s="3">
        <v>7</v>
      </c>
      <c r="O3" s="1">
        <v>1</v>
      </c>
      <c r="P3" s="2">
        <v>2</v>
      </c>
      <c r="Q3" s="2">
        <v>3</v>
      </c>
      <c r="R3" s="2">
        <v>4</v>
      </c>
      <c r="S3" s="2">
        <v>5</v>
      </c>
      <c r="T3" s="2">
        <v>6</v>
      </c>
      <c r="U3" s="3">
        <v>7</v>
      </c>
      <c r="V3" s="1">
        <v>1</v>
      </c>
      <c r="W3" s="2">
        <v>2</v>
      </c>
      <c r="X3" s="2">
        <v>3</v>
      </c>
      <c r="Y3" s="2">
        <v>4</v>
      </c>
      <c r="Z3" s="2">
        <v>5</v>
      </c>
      <c r="AA3" s="2">
        <v>6</v>
      </c>
      <c r="AB3" s="4">
        <v>7</v>
      </c>
      <c r="AC3" s="5">
        <v>1</v>
      </c>
      <c r="AD3" s="2">
        <v>2</v>
      </c>
      <c r="AE3" s="2">
        <v>3</v>
      </c>
      <c r="AF3" s="2">
        <v>4</v>
      </c>
      <c r="AG3" s="2">
        <v>5</v>
      </c>
      <c r="AH3" s="2">
        <v>6</v>
      </c>
      <c r="AI3" s="4">
        <v>7</v>
      </c>
    </row>
    <row r="4" spans="1:35" ht="30" customHeight="1" x14ac:dyDescent="0.4">
      <c r="A4" s="118" t="s">
        <v>473</v>
      </c>
      <c r="B4" s="11" t="s">
        <v>295</v>
      </c>
      <c r="C4" s="8" t="s">
        <v>296</v>
      </c>
      <c r="D4" s="8" t="s">
        <v>297</v>
      </c>
      <c r="E4" s="8" t="s">
        <v>298</v>
      </c>
      <c r="F4" s="8" t="s">
        <v>299</v>
      </c>
      <c r="G4" s="9" t="s">
        <v>300</v>
      </c>
      <c r="H4" s="7" t="s">
        <v>301</v>
      </c>
      <c r="I4" s="8" t="s">
        <v>302</v>
      </c>
      <c r="J4" s="8" t="s">
        <v>303</v>
      </c>
      <c r="K4" s="8" t="s">
        <v>304</v>
      </c>
      <c r="L4" s="8" t="s">
        <v>305</v>
      </c>
      <c r="M4" s="8" t="s">
        <v>305</v>
      </c>
      <c r="N4" s="9" t="s">
        <v>306</v>
      </c>
      <c r="O4" s="7" t="s">
        <v>307</v>
      </c>
      <c r="P4" s="8" t="s">
        <v>308</v>
      </c>
      <c r="Q4" s="8" t="s">
        <v>309</v>
      </c>
      <c r="R4" s="8" t="s">
        <v>310</v>
      </c>
      <c r="S4" s="8" t="s">
        <v>300</v>
      </c>
      <c r="T4" s="8" t="s">
        <v>311</v>
      </c>
      <c r="U4" s="9" t="s">
        <v>311</v>
      </c>
      <c r="V4" s="7" t="s">
        <v>312</v>
      </c>
      <c r="W4" s="8" t="s">
        <v>313</v>
      </c>
      <c r="X4" s="8" t="s">
        <v>307</v>
      </c>
      <c r="Y4" s="8" t="s">
        <v>309</v>
      </c>
      <c r="Z4" s="8" t="s">
        <v>314</v>
      </c>
      <c r="AA4" s="8" t="s">
        <v>315</v>
      </c>
      <c r="AB4" s="10" t="s">
        <v>316</v>
      </c>
      <c r="AC4" s="11" t="s">
        <v>315</v>
      </c>
      <c r="AD4" s="8" t="s">
        <v>298</v>
      </c>
      <c r="AE4" s="8" t="s">
        <v>317</v>
      </c>
      <c r="AF4" s="8" t="s">
        <v>318</v>
      </c>
      <c r="AG4" s="8" t="s">
        <v>295</v>
      </c>
      <c r="AH4" s="8" t="s">
        <v>299</v>
      </c>
      <c r="AI4" s="10" t="s">
        <v>308</v>
      </c>
    </row>
    <row r="5" spans="1:35" ht="30" customHeight="1" x14ac:dyDescent="0.4">
      <c r="A5" s="119" t="s">
        <v>474</v>
      </c>
      <c r="B5" s="17" t="s">
        <v>300</v>
      </c>
      <c r="C5" s="14" t="s">
        <v>318</v>
      </c>
      <c r="D5" s="14" t="s">
        <v>314</v>
      </c>
      <c r="E5" s="14" t="s">
        <v>303</v>
      </c>
      <c r="F5" s="14" t="s">
        <v>307</v>
      </c>
      <c r="G5" s="15" t="s">
        <v>309</v>
      </c>
      <c r="H5" s="13" t="s">
        <v>298</v>
      </c>
      <c r="I5" s="14" t="s">
        <v>309</v>
      </c>
      <c r="J5" s="14" t="s">
        <v>295</v>
      </c>
      <c r="K5" s="14" t="s">
        <v>315</v>
      </c>
      <c r="L5" s="14" t="s">
        <v>310</v>
      </c>
      <c r="M5" s="14" t="s">
        <v>299</v>
      </c>
      <c r="N5" s="15" t="s">
        <v>308</v>
      </c>
      <c r="O5" s="13" t="s">
        <v>299</v>
      </c>
      <c r="P5" s="14" t="s">
        <v>298</v>
      </c>
      <c r="Q5" s="14" t="s">
        <v>313</v>
      </c>
      <c r="R5" s="14" t="s">
        <v>317</v>
      </c>
      <c r="S5" s="14" t="s">
        <v>307</v>
      </c>
      <c r="T5" s="14" t="s">
        <v>311</v>
      </c>
      <c r="U5" s="15" t="s">
        <v>311</v>
      </c>
      <c r="V5" s="13" t="s">
        <v>304</v>
      </c>
      <c r="W5" s="14" t="s">
        <v>296</v>
      </c>
      <c r="X5" s="14" t="s">
        <v>297</v>
      </c>
      <c r="Y5" s="14" t="s">
        <v>302</v>
      </c>
      <c r="Z5" s="14" t="s">
        <v>300</v>
      </c>
      <c r="AA5" s="14" t="s">
        <v>305</v>
      </c>
      <c r="AB5" s="16" t="s">
        <v>305</v>
      </c>
      <c r="AC5" s="17" t="s">
        <v>308</v>
      </c>
      <c r="AD5" s="14" t="s">
        <v>312</v>
      </c>
      <c r="AE5" s="14" t="s">
        <v>295</v>
      </c>
      <c r="AF5" s="14" t="s">
        <v>301</v>
      </c>
      <c r="AG5" s="14" t="s">
        <v>316</v>
      </c>
      <c r="AH5" s="14" t="s">
        <v>315</v>
      </c>
      <c r="AI5" s="16" t="s">
        <v>306</v>
      </c>
    </row>
    <row r="6" spans="1:35" ht="30" customHeight="1" x14ac:dyDescent="0.4">
      <c r="A6" s="119" t="s">
        <v>475</v>
      </c>
      <c r="B6" s="17" t="s">
        <v>297</v>
      </c>
      <c r="C6" s="14" t="s">
        <v>312</v>
      </c>
      <c r="D6" s="14" t="s">
        <v>305</v>
      </c>
      <c r="E6" s="14" t="s">
        <v>305</v>
      </c>
      <c r="F6" s="14" t="s">
        <v>315</v>
      </c>
      <c r="G6" s="15" t="s">
        <v>296</v>
      </c>
      <c r="H6" s="13" t="s">
        <v>304</v>
      </c>
      <c r="I6" s="14" t="s">
        <v>307</v>
      </c>
      <c r="J6" s="14" t="s">
        <v>306</v>
      </c>
      <c r="K6" s="14" t="s">
        <v>318</v>
      </c>
      <c r="L6" s="14" t="s">
        <v>302</v>
      </c>
      <c r="M6" s="14" t="s">
        <v>315</v>
      </c>
      <c r="N6" s="15" t="s">
        <v>298</v>
      </c>
      <c r="O6" s="13" t="s">
        <v>314</v>
      </c>
      <c r="P6" s="14" t="s">
        <v>295</v>
      </c>
      <c r="Q6" s="14" t="s">
        <v>308</v>
      </c>
      <c r="R6" s="14" t="s">
        <v>301</v>
      </c>
      <c r="S6" s="14" t="s">
        <v>316</v>
      </c>
      <c r="T6" s="14" t="s">
        <v>311</v>
      </c>
      <c r="U6" s="15" t="s">
        <v>311</v>
      </c>
      <c r="V6" s="13" t="s">
        <v>299</v>
      </c>
      <c r="W6" s="14" t="s">
        <v>300</v>
      </c>
      <c r="X6" s="14" t="s">
        <v>313</v>
      </c>
      <c r="Y6" s="14" t="s">
        <v>303</v>
      </c>
      <c r="Z6" s="14" t="s">
        <v>317</v>
      </c>
      <c r="AA6" s="14" t="s">
        <v>309</v>
      </c>
      <c r="AB6" s="16" t="s">
        <v>307</v>
      </c>
      <c r="AC6" s="17" t="s">
        <v>300</v>
      </c>
      <c r="AD6" s="14" t="s">
        <v>310</v>
      </c>
      <c r="AE6" s="14" t="s">
        <v>308</v>
      </c>
      <c r="AF6" s="14" t="s">
        <v>299</v>
      </c>
      <c r="AG6" s="14" t="s">
        <v>298</v>
      </c>
      <c r="AH6" s="14" t="s">
        <v>295</v>
      </c>
      <c r="AI6" s="16" t="s">
        <v>309</v>
      </c>
    </row>
    <row r="7" spans="1:35" ht="30" customHeight="1" x14ac:dyDescent="0.4">
      <c r="A7" s="119" t="s">
        <v>476</v>
      </c>
      <c r="B7" s="17" t="s">
        <v>315</v>
      </c>
      <c r="C7" s="14" t="s">
        <v>307</v>
      </c>
      <c r="D7" s="14" t="s">
        <v>318</v>
      </c>
      <c r="E7" s="14" t="s">
        <v>314</v>
      </c>
      <c r="F7" s="14" t="s">
        <v>298</v>
      </c>
      <c r="G7" s="15" t="s">
        <v>317</v>
      </c>
      <c r="H7" s="13" t="s">
        <v>319</v>
      </c>
      <c r="I7" s="14" t="s">
        <v>299</v>
      </c>
      <c r="J7" s="14" t="s">
        <v>308</v>
      </c>
      <c r="K7" s="14" t="s">
        <v>300</v>
      </c>
      <c r="L7" s="14" t="s">
        <v>295</v>
      </c>
      <c r="M7" s="14" t="s">
        <v>309</v>
      </c>
      <c r="N7" s="15" t="s">
        <v>316</v>
      </c>
      <c r="O7" s="13" t="s">
        <v>301</v>
      </c>
      <c r="P7" s="14" t="s">
        <v>315</v>
      </c>
      <c r="Q7" s="14" t="s">
        <v>306</v>
      </c>
      <c r="R7" s="14" t="s">
        <v>313</v>
      </c>
      <c r="S7" s="14" t="s">
        <v>312</v>
      </c>
      <c r="T7" s="14" t="s">
        <v>311</v>
      </c>
      <c r="U7" s="15" t="s">
        <v>311</v>
      </c>
      <c r="V7" s="13" t="s">
        <v>308</v>
      </c>
      <c r="W7" s="14" t="s">
        <v>298</v>
      </c>
      <c r="X7" s="14" t="s">
        <v>303</v>
      </c>
      <c r="Y7" s="14" t="s">
        <v>310</v>
      </c>
      <c r="Z7" s="14" t="s">
        <v>295</v>
      </c>
      <c r="AA7" s="14" t="s">
        <v>302</v>
      </c>
      <c r="AB7" s="16" t="s">
        <v>309</v>
      </c>
      <c r="AC7" s="17" t="s">
        <v>299</v>
      </c>
      <c r="AD7" s="14" t="s">
        <v>307</v>
      </c>
      <c r="AE7" s="14" t="s">
        <v>305</v>
      </c>
      <c r="AF7" s="14" t="s">
        <v>305</v>
      </c>
      <c r="AG7" s="14" t="s">
        <v>300</v>
      </c>
      <c r="AH7" s="14" t="s">
        <v>296</v>
      </c>
      <c r="AI7" s="16" t="s">
        <v>297</v>
      </c>
    </row>
    <row r="8" spans="1:35" ht="30" customHeight="1" x14ac:dyDescent="0.4">
      <c r="A8" s="119" t="s">
        <v>477</v>
      </c>
      <c r="B8" s="17" t="s">
        <v>319</v>
      </c>
      <c r="C8" s="14" t="s">
        <v>295</v>
      </c>
      <c r="D8" s="14" t="s">
        <v>316</v>
      </c>
      <c r="E8" s="14" t="s">
        <v>308</v>
      </c>
      <c r="F8" s="14" t="s">
        <v>300</v>
      </c>
      <c r="G8" s="15" t="s">
        <v>299</v>
      </c>
      <c r="H8" s="13" t="s">
        <v>307</v>
      </c>
      <c r="I8" s="14" t="s">
        <v>314</v>
      </c>
      <c r="J8" s="14" t="s">
        <v>298</v>
      </c>
      <c r="K8" s="14" t="s">
        <v>309</v>
      </c>
      <c r="L8" s="14" t="s">
        <v>317</v>
      </c>
      <c r="M8" s="14" t="s">
        <v>300</v>
      </c>
      <c r="N8" s="15" t="s">
        <v>296</v>
      </c>
      <c r="O8" s="13" t="s">
        <v>306</v>
      </c>
      <c r="P8" s="14" t="s">
        <v>303</v>
      </c>
      <c r="Q8" s="14" t="s">
        <v>315</v>
      </c>
      <c r="R8" s="14" t="s">
        <v>298</v>
      </c>
      <c r="S8" s="14" t="s">
        <v>302</v>
      </c>
      <c r="T8" s="14" t="s">
        <v>311</v>
      </c>
      <c r="U8" s="15" t="s">
        <v>311</v>
      </c>
      <c r="V8" s="13" t="s">
        <v>305</v>
      </c>
      <c r="W8" s="14" t="s">
        <v>305</v>
      </c>
      <c r="X8" s="14" t="s">
        <v>295</v>
      </c>
      <c r="Y8" s="14" t="s">
        <v>299</v>
      </c>
      <c r="Z8" s="14" t="s">
        <v>313</v>
      </c>
      <c r="AA8" s="14" t="s">
        <v>301</v>
      </c>
      <c r="AB8" s="16" t="s">
        <v>310</v>
      </c>
      <c r="AC8" s="17" t="s">
        <v>297</v>
      </c>
      <c r="AD8" s="14" t="s">
        <v>320</v>
      </c>
      <c r="AE8" s="14" t="s">
        <v>318</v>
      </c>
      <c r="AF8" s="14" t="s">
        <v>309</v>
      </c>
      <c r="AG8" s="14" t="s">
        <v>307</v>
      </c>
      <c r="AH8" s="14" t="s">
        <v>312</v>
      </c>
      <c r="AI8" s="16" t="s">
        <v>315</v>
      </c>
    </row>
    <row r="9" spans="1:35" ht="30" customHeight="1" x14ac:dyDescent="0.4">
      <c r="A9" s="119" t="s">
        <v>478</v>
      </c>
      <c r="B9" s="17" t="s">
        <v>298</v>
      </c>
      <c r="C9" s="14" t="s">
        <v>299</v>
      </c>
      <c r="D9" s="14" t="s">
        <v>296</v>
      </c>
      <c r="E9" s="14" t="s">
        <v>307</v>
      </c>
      <c r="F9" s="14" t="s">
        <v>317</v>
      </c>
      <c r="G9" s="15" t="s">
        <v>315</v>
      </c>
      <c r="H9" s="13" t="s">
        <v>309</v>
      </c>
      <c r="I9" s="14" t="s">
        <v>318</v>
      </c>
      <c r="J9" s="14" t="s">
        <v>300</v>
      </c>
      <c r="K9" s="14" t="s">
        <v>303</v>
      </c>
      <c r="L9" s="14" t="s">
        <v>308</v>
      </c>
      <c r="M9" s="14" t="s">
        <v>319</v>
      </c>
      <c r="N9" s="15" t="s">
        <v>295</v>
      </c>
      <c r="O9" s="13" t="s">
        <v>302</v>
      </c>
      <c r="P9" s="14" t="s">
        <v>316</v>
      </c>
      <c r="Q9" s="14" t="s">
        <v>305</v>
      </c>
      <c r="R9" s="14" t="s">
        <v>305</v>
      </c>
      <c r="S9" s="14" t="s">
        <v>295</v>
      </c>
      <c r="T9" s="14" t="s">
        <v>311</v>
      </c>
      <c r="U9" s="15" t="s">
        <v>311</v>
      </c>
      <c r="V9" s="13" t="s">
        <v>298</v>
      </c>
      <c r="W9" s="14" t="s">
        <v>297</v>
      </c>
      <c r="X9" s="14" t="s">
        <v>312</v>
      </c>
      <c r="Y9" s="14" t="s">
        <v>301</v>
      </c>
      <c r="Z9" s="14" t="s">
        <v>307</v>
      </c>
      <c r="AA9" s="14" t="s">
        <v>300</v>
      </c>
      <c r="AB9" s="16" t="s">
        <v>313</v>
      </c>
      <c r="AC9" s="17" t="s">
        <v>314</v>
      </c>
      <c r="AD9" s="14" t="s">
        <v>306</v>
      </c>
      <c r="AE9" s="14" t="s">
        <v>299</v>
      </c>
      <c r="AF9" s="14" t="s">
        <v>315</v>
      </c>
      <c r="AG9" s="14" t="s">
        <v>309</v>
      </c>
      <c r="AH9" s="14" t="s">
        <v>310</v>
      </c>
      <c r="AI9" s="16" t="s">
        <v>320</v>
      </c>
    </row>
    <row r="10" spans="1:35" ht="30" customHeight="1" x14ac:dyDescent="0.4">
      <c r="A10" s="119" t="s">
        <v>479</v>
      </c>
      <c r="B10" s="17" t="s">
        <v>320</v>
      </c>
      <c r="C10" s="14" t="s">
        <v>302</v>
      </c>
      <c r="D10" s="14" t="s">
        <v>300</v>
      </c>
      <c r="E10" s="14" t="s">
        <v>318</v>
      </c>
      <c r="F10" s="14" t="s">
        <v>295</v>
      </c>
      <c r="G10" s="15" t="s">
        <v>297</v>
      </c>
      <c r="H10" s="13" t="s">
        <v>305</v>
      </c>
      <c r="I10" s="14" t="s">
        <v>305</v>
      </c>
      <c r="J10" s="14" t="s">
        <v>315</v>
      </c>
      <c r="K10" s="14" t="s">
        <v>307</v>
      </c>
      <c r="L10" s="14" t="s">
        <v>298</v>
      </c>
      <c r="M10" s="14" t="s">
        <v>301</v>
      </c>
      <c r="N10" s="15" t="s">
        <v>319</v>
      </c>
      <c r="O10" s="13" t="s">
        <v>313</v>
      </c>
      <c r="P10" s="14" t="s">
        <v>309</v>
      </c>
      <c r="Q10" s="14" t="s">
        <v>317</v>
      </c>
      <c r="R10" s="14" t="s">
        <v>299</v>
      </c>
      <c r="S10" s="14" t="s">
        <v>314</v>
      </c>
      <c r="T10" s="14" t="s">
        <v>311</v>
      </c>
      <c r="U10" s="15" t="s">
        <v>311</v>
      </c>
      <c r="V10" s="13" t="s">
        <v>309</v>
      </c>
      <c r="W10" s="14" t="s">
        <v>310</v>
      </c>
      <c r="X10" s="14" t="s">
        <v>315</v>
      </c>
      <c r="Y10" s="14" t="s">
        <v>298</v>
      </c>
      <c r="Z10" s="14" t="s">
        <v>299</v>
      </c>
      <c r="AA10" s="14" t="s">
        <v>308</v>
      </c>
      <c r="AB10" s="16" t="s">
        <v>295</v>
      </c>
      <c r="AC10" s="17" t="s">
        <v>312</v>
      </c>
      <c r="AD10" s="14" t="s">
        <v>303</v>
      </c>
      <c r="AE10" s="14" t="s">
        <v>300</v>
      </c>
      <c r="AF10" s="14" t="s">
        <v>306</v>
      </c>
      <c r="AG10" s="14" t="s">
        <v>296</v>
      </c>
      <c r="AH10" s="14" t="s">
        <v>307</v>
      </c>
      <c r="AI10" s="16" t="s">
        <v>316</v>
      </c>
    </row>
    <row r="11" spans="1:35" ht="30" customHeight="1" thickBot="1" x14ac:dyDescent="0.45">
      <c r="A11" s="120" t="s">
        <v>480</v>
      </c>
      <c r="B11" s="5" t="s">
        <v>310</v>
      </c>
      <c r="C11" s="2" t="s">
        <v>320</v>
      </c>
      <c r="D11" s="2" t="s">
        <v>309</v>
      </c>
      <c r="E11" s="2" t="s">
        <v>321</v>
      </c>
      <c r="F11" s="2" t="s">
        <v>302</v>
      </c>
      <c r="G11" s="3" t="s">
        <v>305</v>
      </c>
      <c r="H11" s="1" t="s">
        <v>315</v>
      </c>
      <c r="I11" s="2" t="s">
        <v>297</v>
      </c>
      <c r="J11" s="2" t="s">
        <v>318</v>
      </c>
      <c r="K11" s="2" t="s">
        <v>322</v>
      </c>
      <c r="L11" s="2" t="s">
        <v>306</v>
      </c>
      <c r="M11" s="2" t="s">
        <v>302</v>
      </c>
      <c r="N11" s="3" t="s">
        <v>314</v>
      </c>
      <c r="O11" s="1" t="s">
        <v>300</v>
      </c>
      <c r="P11" s="2" t="s">
        <v>299</v>
      </c>
      <c r="Q11" s="2" t="s">
        <v>321</v>
      </c>
      <c r="R11" s="2" t="s">
        <v>296</v>
      </c>
      <c r="S11" s="2" t="s">
        <v>323</v>
      </c>
      <c r="T11" s="2" t="s">
        <v>311</v>
      </c>
      <c r="U11" s="3" t="s">
        <v>311</v>
      </c>
      <c r="V11" s="1" t="s">
        <v>301</v>
      </c>
      <c r="W11" s="2" t="s">
        <v>302</v>
      </c>
      <c r="X11" s="2" t="s">
        <v>317</v>
      </c>
      <c r="Y11" s="2" t="s">
        <v>315</v>
      </c>
      <c r="Z11" s="2" t="s">
        <v>321</v>
      </c>
      <c r="AA11" s="2" t="s">
        <v>298</v>
      </c>
      <c r="AB11" s="4" t="s">
        <v>314</v>
      </c>
      <c r="AC11" s="5" t="s">
        <v>309</v>
      </c>
      <c r="AD11" s="2" t="s">
        <v>318</v>
      </c>
      <c r="AE11" s="2" t="s">
        <v>298</v>
      </c>
      <c r="AF11" s="2" t="s">
        <v>321</v>
      </c>
      <c r="AG11" s="2" t="s">
        <v>308</v>
      </c>
      <c r="AH11" s="2" t="s">
        <v>300</v>
      </c>
      <c r="AI11" s="4" t="s">
        <v>303</v>
      </c>
    </row>
    <row r="12" spans="1:35" ht="30" customHeight="1" x14ac:dyDescent="0.4">
      <c r="A12" s="117" t="s">
        <v>481</v>
      </c>
      <c r="B12" s="53" t="s">
        <v>324</v>
      </c>
      <c r="C12" s="52" t="s">
        <v>324</v>
      </c>
      <c r="D12" s="8" t="s">
        <v>325</v>
      </c>
      <c r="E12" s="8" t="s">
        <v>326</v>
      </c>
      <c r="F12" s="54" t="s">
        <v>327</v>
      </c>
      <c r="G12" s="9" t="s">
        <v>328</v>
      </c>
      <c r="H12" s="57" t="s">
        <v>327</v>
      </c>
      <c r="I12" s="8" t="s">
        <v>328</v>
      </c>
      <c r="J12" s="60" t="s">
        <v>329</v>
      </c>
      <c r="K12" s="8" t="s">
        <v>330</v>
      </c>
      <c r="L12" s="69" t="s">
        <v>331</v>
      </c>
      <c r="M12" s="8" t="s">
        <v>332</v>
      </c>
      <c r="N12" s="9" t="s">
        <v>333</v>
      </c>
      <c r="O12" s="63" t="s">
        <v>334</v>
      </c>
      <c r="P12" s="8" t="s">
        <v>335</v>
      </c>
      <c r="Q12" s="8" t="s">
        <v>332</v>
      </c>
      <c r="R12" s="8" t="s">
        <v>336</v>
      </c>
      <c r="S12" s="8" t="s">
        <v>337</v>
      </c>
      <c r="T12" s="8" t="s">
        <v>311</v>
      </c>
      <c r="U12" s="9" t="s">
        <v>311</v>
      </c>
      <c r="V12" s="7" t="s">
        <v>326</v>
      </c>
      <c r="W12" s="8" t="s">
        <v>336</v>
      </c>
      <c r="X12" s="69" t="s">
        <v>331</v>
      </c>
      <c r="Y12" s="52" t="s">
        <v>338</v>
      </c>
      <c r="Z12" s="54" t="s">
        <v>327</v>
      </c>
      <c r="AA12" s="8" t="s">
        <v>335</v>
      </c>
      <c r="AB12" s="10" t="s">
        <v>339</v>
      </c>
      <c r="AC12" s="66" t="s">
        <v>329</v>
      </c>
      <c r="AD12" s="8" t="s">
        <v>336</v>
      </c>
      <c r="AE12" s="69" t="s">
        <v>331</v>
      </c>
      <c r="AF12" s="8" t="s">
        <v>340</v>
      </c>
      <c r="AG12" s="8" t="s">
        <v>341</v>
      </c>
      <c r="AH12" s="8" t="s">
        <v>342</v>
      </c>
      <c r="AI12" s="10" t="s">
        <v>343</v>
      </c>
    </row>
    <row r="13" spans="1:35" ht="30" customHeight="1" x14ac:dyDescent="0.4">
      <c r="A13" s="115" t="s">
        <v>482</v>
      </c>
      <c r="B13" s="125" t="s">
        <v>338</v>
      </c>
      <c r="C13" s="126" t="s">
        <v>338</v>
      </c>
      <c r="D13" s="14" t="s">
        <v>336</v>
      </c>
      <c r="E13" s="14" t="s">
        <v>339</v>
      </c>
      <c r="F13" s="55" t="s">
        <v>344</v>
      </c>
      <c r="G13" s="15" t="s">
        <v>326</v>
      </c>
      <c r="H13" s="56" t="s">
        <v>344</v>
      </c>
      <c r="I13" s="14" t="s">
        <v>326</v>
      </c>
      <c r="J13" s="59" t="s">
        <v>345</v>
      </c>
      <c r="K13" s="14" t="s">
        <v>332</v>
      </c>
      <c r="L13" s="68" t="s">
        <v>346</v>
      </c>
      <c r="M13" s="14" t="s">
        <v>325</v>
      </c>
      <c r="N13" s="15" t="s">
        <v>343</v>
      </c>
      <c r="O13" s="61" t="s">
        <v>345</v>
      </c>
      <c r="P13" s="14" t="s">
        <v>336</v>
      </c>
      <c r="Q13" s="14" t="s">
        <v>328</v>
      </c>
      <c r="R13" s="14" t="s">
        <v>330</v>
      </c>
      <c r="S13" s="14" t="s">
        <v>337</v>
      </c>
      <c r="T13" s="14" t="s">
        <v>311</v>
      </c>
      <c r="U13" s="15" t="s">
        <v>311</v>
      </c>
      <c r="V13" s="13" t="s">
        <v>333</v>
      </c>
      <c r="W13" s="14" t="s">
        <v>335</v>
      </c>
      <c r="X13" s="68" t="s">
        <v>346</v>
      </c>
      <c r="Y13" s="126" t="s">
        <v>324</v>
      </c>
      <c r="Z13" s="55" t="s">
        <v>344</v>
      </c>
      <c r="AA13" s="14" t="s">
        <v>328</v>
      </c>
      <c r="AB13" s="16" t="s">
        <v>342</v>
      </c>
      <c r="AC13" s="65" t="s">
        <v>345</v>
      </c>
      <c r="AD13" s="14" t="s">
        <v>335</v>
      </c>
      <c r="AE13" s="68" t="s">
        <v>346</v>
      </c>
      <c r="AF13" s="14" t="s">
        <v>341</v>
      </c>
      <c r="AG13" s="14" t="s">
        <v>336</v>
      </c>
      <c r="AH13" s="14" t="s">
        <v>332</v>
      </c>
      <c r="AI13" s="16" t="s">
        <v>340</v>
      </c>
    </row>
    <row r="14" spans="1:35" ht="30" customHeight="1" x14ac:dyDescent="0.4">
      <c r="A14" s="117" t="s">
        <v>483</v>
      </c>
      <c r="B14" s="13" t="s">
        <v>347</v>
      </c>
      <c r="C14" s="14" t="s">
        <v>340</v>
      </c>
      <c r="D14" s="14" t="s">
        <v>612</v>
      </c>
      <c r="E14" s="14" t="s">
        <v>615</v>
      </c>
      <c r="F14" s="55" t="s">
        <v>349</v>
      </c>
      <c r="G14" s="15" t="s">
        <v>614</v>
      </c>
      <c r="H14" s="56" t="s">
        <v>349</v>
      </c>
      <c r="I14" s="14" t="s">
        <v>347</v>
      </c>
      <c r="J14" s="59" t="s">
        <v>350</v>
      </c>
      <c r="K14" s="14" t="s">
        <v>328</v>
      </c>
      <c r="L14" s="68" t="s">
        <v>351</v>
      </c>
      <c r="M14" s="14" t="s">
        <v>348</v>
      </c>
      <c r="N14" s="15" t="s">
        <v>326</v>
      </c>
      <c r="O14" s="61" t="s">
        <v>350</v>
      </c>
      <c r="P14" s="14" t="s">
        <v>339</v>
      </c>
      <c r="Q14" s="14" t="s">
        <v>330</v>
      </c>
      <c r="R14" s="14" t="s">
        <v>335</v>
      </c>
      <c r="S14" s="14" t="s">
        <v>337</v>
      </c>
      <c r="T14" s="14" t="s">
        <v>311</v>
      </c>
      <c r="U14" s="15" t="s">
        <v>311</v>
      </c>
      <c r="V14" s="13" t="s">
        <v>325</v>
      </c>
      <c r="W14" s="14" t="s">
        <v>341</v>
      </c>
      <c r="X14" s="68" t="s">
        <v>351</v>
      </c>
      <c r="Y14" s="14" t="s">
        <v>333</v>
      </c>
      <c r="Z14" s="55" t="s">
        <v>349</v>
      </c>
      <c r="AA14" s="14" t="s">
        <v>342</v>
      </c>
      <c r="AB14" s="16" t="s">
        <v>335</v>
      </c>
      <c r="AC14" s="65" t="s">
        <v>350</v>
      </c>
      <c r="AD14" s="14" t="s">
        <v>347</v>
      </c>
      <c r="AE14" s="68" t="s">
        <v>351</v>
      </c>
      <c r="AF14" s="14" t="s">
        <v>326</v>
      </c>
      <c r="AG14" s="14" t="s">
        <v>328</v>
      </c>
      <c r="AH14" s="14" t="s">
        <v>352</v>
      </c>
      <c r="AI14" s="16" t="s">
        <v>332</v>
      </c>
    </row>
    <row r="15" spans="1:35" ht="30" customHeight="1" x14ac:dyDescent="0.4">
      <c r="A15" s="115" t="s">
        <v>484</v>
      </c>
      <c r="B15" s="13" t="s">
        <v>328</v>
      </c>
      <c r="C15" s="14" t="s">
        <v>335</v>
      </c>
      <c r="D15" s="14" t="s">
        <v>333</v>
      </c>
      <c r="E15" s="14" t="s">
        <v>347</v>
      </c>
      <c r="F15" s="55" t="s">
        <v>353</v>
      </c>
      <c r="G15" s="15" t="s">
        <v>339</v>
      </c>
      <c r="H15" s="56" t="s">
        <v>353</v>
      </c>
      <c r="I15" s="14" t="s">
        <v>348</v>
      </c>
      <c r="J15" s="59" t="s">
        <v>491</v>
      </c>
      <c r="K15" s="14" t="s">
        <v>335</v>
      </c>
      <c r="L15" s="68" t="s">
        <v>354</v>
      </c>
      <c r="M15" s="14" t="s">
        <v>347</v>
      </c>
      <c r="N15" s="15" t="s">
        <v>328</v>
      </c>
      <c r="O15" s="61" t="s">
        <v>491</v>
      </c>
      <c r="P15" s="14" t="s">
        <v>330</v>
      </c>
      <c r="Q15" s="14" t="s">
        <v>342</v>
      </c>
      <c r="R15" s="14" t="s">
        <v>340</v>
      </c>
      <c r="S15" s="14" t="s">
        <v>337</v>
      </c>
      <c r="T15" s="14" t="s">
        <v>311</v>
      </c>
      <c r="U15" s="15" t="s">
        <v>311</v>
      </c>
      <c r="V15" s="13" t="s">
        <v>348</v>
      </c>
      <c r="W15" s="14" t="s">
        <v>343</v>
      </c>
      <c r="X15" s="68" t="s">
        <v>354</v>
      </c>
      <c r="Y15" s="14" t="s">
        <v>326</v>
      </c>
      <c r="Z15" s="55" t="s">
        <v>353</v>
      </c>
      <c r="AA15" s="14" t="s">
        <v>332</v>
      </c>
      <c r="AB15" s="16" t="s">
        <v>325</v>
      </c>
      <c r="AC15" s="65" t="s">
        <v>491</v>
      </c>
      <c r="AD15" s="14" t="s">
        <v>341</v>
      </c>
      <c r="AE15" s="68" t="s">
        <v>355</v>
      </c>
      <c r="AF15" s="14" t="s">
        <v>332</v>
      </c>
      <c r="AG15" s="14" t="s">
        <v>347</v>
      </c>
      <c r="AH15" s="14" t="s">
        <v>326</v>
      </c>
      <c r="AI15" s="16" t="s">
        <v>352</v>
      </c>
    </row>
    <row r="16" spans="1:35" ht="30" customHeight="1" x14ac:dyDescent="0.4">
      <c r="A16" s="117" t="s">
        <v>485</v>
      </c>
      <c r="B16" s="13" t="s">
        <v>330</v>
      </c>
      <c r="C16" s="14" t="s">
        <v>347</v>
      </c>
      <c r="D16" s="14" t="s">
        <v>615</v>
      </c>
      <c r="E16" s="14" t="s">
        <v>614</v>
      </c>
      <c r="F16" s="55" t="s">
        <v>356</v>
      </c>
      <c r="G16" s="15" t="s">
        <v>335</v>
      </c>
      <c r="H16" s="56" t="s">
        <v>356</v>
      </c>
      <c r="I16" s="14" t="s">
        <v>343</v>
      </c>
      <c r="J16" s="59" t="s">
        <v>357</v>
      </c>
      <c r="K16" s="14" t="s">
        <v>339</v>
      </c>
      <c r="L16" s="68" t="s">
        <v>358</v>
      </c>
      <c r="M16" s="14" t="s">
        <v>326</v>
      </c>
      <c r="N16" s="15" t="s">
        <v>348</v>
      </c>
      <c r="O16" s="61" t="s">
        <v>357</v>
      </c>
      <c r="P16" s="14" t="s">
        <v>325</v>
      </c>
      <c r="Q16" s="14" t="s">
        <v>333</v>
      </c>
      <c r="R16" s="14" t="s">
        <v>332</v>
      </c>
      <c r="S16" s="14" t="s">
        <v>337</v>
      </c>
      <c r="T16" s="14" t="s">
        <v>311</v>
      </c>
      <c r="U16" s="15" t="s">
        <v>311</v>
      </c>
      <c r="V16" s="13" t="s">
        <v>340</v>
      </c>
      <c r="W16" s="14" t="s">
        <v>347</v>
      </c>
      <c r="X16" s="68" t="s">
        <v>358</v>
      </c>
      <c r="Y16" s="14" t="s">
        <v>342</v>
      </c>
      <c r="Z16" s="55" t="s">
        <v>356</v>
      </c>
      <c r="AA16" s="14" t="s">
        <v>352</v>
      </c>
      <c r="AB16" s="16" t="s">
        <v>328</v>
      </c>
      <c r="AC16" s="65" t="s">
        <v>357</v>
      </c>
      <c r="AD16" s="14" t="s">
        <v>328</v>
      </c>
      <c r="AE16" s="68" t="s">
        <v>358</v>
      </c>
      <c r="AF16" s="14" t="s">
        <v>347</v>
      </c>
      <c r="AG16" s="14" t="s">
        <v>359</v>
      </c>
      <c r="AH16" s="14" t="s">
        <v>333</v>
      </c>
      <c r="AI16" s="16" t="s">
        <v>335</v>
      </c>
    </row>
    <row r="17" spans="1:35" ht="30" customHeight="1" x14ac:dyDescent="0.4">
      <c r="A17" s="115" t="s">
        <v>486</v>
      </c>
      <c r="B17" s="125" t="s">
        <v>360</v>
      </c>
      <c r="C17" s="126" t="s">
        <v>360</v>
      </c>
      <c r="D17" s="14" t="s">
        <v>613</v>
      </c>
      <c r="E17" s="14" t="s">
        <v>612</v>
      </c>
      <c r="F17" s="55" t="s">
        <v>361</v>
      </c>
      <c r="G17" s="15" t="s">
        <v>332</v>
      </c>
      <c r="H17" s="56" t="s">
        <v>361</v>
      </c>
      <c r="I17" s="14" t="s">
        <v>335</v>
      </c>
      <c r="J17" s="59" t="s">
        <v>362</v>
      </c>
      <c r="K17" s="14" t="s">
        <v>333</v>
      </c>
      <c r="L17" s="68" t="s">
        <v>489</v>
      </c>
      <c r="M17" s="14" t="s">
        <v>339</v>
      </c>
      <c r="N17" s="15" t="s">
        <v>347</v>
      </c>
      <c r="O17" s="61" t="s">
        <v>362</v>
      </c>
      <c r="P17" s="14" t="s">
        <v>347</v>
      </c>
      <c r="Q17" s="14" t="s">
        <v>359</v>
      </c>
      <c r="R17" s="14" t="s">
        <v>363</v>
      </c>
      <c r="S17" s="14" t="s">
        <v>337</v>
      </c>
      <c r="T17" s="14" t="s">
        <v>311</v>
      </c>
      <c r="U17" s="15" t="s">
        <v>311</v>
      </c>
      <c r="V17" s="13" t="s">
        <v>347</v>
      </c>
      <c r="W17" s="14" t="s">
        <v>363</v>
      </c>
      <c r="X17" s="68" t="s">
        <v>489</v>
      </c>
      <c r="Y17" s="126" t="s">
        <v>360</v>
      </c>
      <c r="Z17" s="55" t="s">
        <v>361</v>
      </c>
      <c r="AA17" s="14" t="s">
        <v>326</v>
      </c>
      <c r="AB17" s="16" t="s">
        <v>332</v>
      </c>
      <c r="AC17" s="65" t="s">
        <v>362</v>
      </c>
      <c r="AD17" s="14" t="s">
        <v>333</v>
      </c>
      <c r="AE17" s="68" t="s">
        <v>489</v>
      </c>
      <c r="AF17" s="14" t="s">
        <v>330</v>
      </c>
      <c r="AG17" s="14" t="s">
        <v>325</v>
      </c>
      <c r="AH17" s="14" t="s">
        <v>335</v>
      </c>
      <c r="AI17" s="16" t="s">
        <v>342</v>
      </c>
    </row>
    <row r="18" spans="1:35" ht="30" customHeight="1" x14ac:dyDescent="0.4">
      <c r="A18" s="117" t="s">
        <v>487</v>
      </c>
      <c r="B18" s="13" t="s">
        <v>332</v>
      </c>
      <c r="C18" s="14" t="s">
        <v>333</v>
      </c>
      <c r="D18" s="14" t="s">
        <v>330</v>
      </c>
      <c r="E18" s="14" t="s">
        <v>335</v>
      </c>
      <c r="F18" s="55" t="s">
        <v>364</v>
      </c>
      <c r="G18" s="15" t="s">
        <v>347</v>
      </c>
      <c r="H18" s="56" t="s">
        <v>364</v>
      </c>
      <c r="I18" s="14" t="s">
        <v>339</v>
      </c>
      <c r="J18" s="59" t="s">
        <v>365</v>
      </c>
      <c r="K18" s="14" t="s">
        <v>348</v>
      </c>
      <c r="L18" s="68" t="s">
        <v>490</v>
      </c>
      <c r="M18" s="14" t="s">
        <v>363</v>
      </c>
      <c r="N18" s="15" t="s">
        <v>335</v>
      </c>
      <c r="O18" s="61" t="s">
        <v>365</v>
      </c>
      <c r="P18" s="14" t="s">
        <v>326</v>
      </c>
      <c r="Q18" s="14" t="s">
        <v>325</v>
      </c>
      <c r="R18" s="14" t="s">
        <v>343</v>
      </c>
      <c r="S18" s="14" t="s">
        <v>337</v>
      </c>
      <c r="T18" s="14" t="s">
        <v>311</v>
      </c>
      <c r="U18" s="15" t="s">
        <v>311</v>
      </c>
      <c r="V18" s="13" t="s">
        <v>332</v>
      </c>
      <c r="W18" s="14" t="s">
        <v>348</v>
      </c>
      <c r="X18" s="68" t="s">
        <v>490</v>
      </c>
      <c r="Y18" s="14" t="s">
        <v>340</v>
      </c>
      <c r="Z18" s="55" t="s">
        <v>364</v>
      </c>
      <c r="AA18" s="14" t="s">
        <v>347</v>
      </c>
      <c r="AB18" s="16" t="s">
        <v>359</v>
      </c>
      <c r="AC18" s="65" t="s">
        <v>365</v>
      </c>
      <c r="AD18" s="14" t="s">
        <v>342</v>
      </c>
      <c r="AE18" s="68" t="s">
        <v>490</v>
      </c>
      <c r="AF18" s="14" t="s">
        <v>352</v>
      </c>
      <c r="AG18" s="14" t="s">
        <v>333</v>
      </c>
      <c r="AH18" s="14" t="s">
        <v>363</v>
      </c>
      <c r="AI18" s="16" t="s">
        <v>347</v>
      </c>
    </row>
    <row r="19" spans="1:35" ht="30" customHeight="1" x14ac:dyDescent="0.4">
      <c r="A19" s="115" t="s">
        <v>488</v>
      </c>
      <c r="B19" s="13" t="s">
        <v>343</v>
      </c>
      <c r="C19" s="14" t="s">
        <v>325</v>
      </c>
      <c r="D19" s="14" t="s">
        <v>366</v>
      </c>
      <c r="E19" s="14" t="s">
        <v>366</v>
      </c>
      <c r="F19" s="14" t="s">
        <v>333</v>
      </c>
      <c r="G19" s="15" t="s">
        <v>367</v>
      </c>
      <c r="H19" s="13" t="s">
        <v>363</v>
      </c>
      <c r="I19" s="14" t="s">
        <v>368</v>
      </c>
      <c r="J19" s="14" t="s">
        <v>326</v>
      </c>
      <c r="K19" s="14" t="s">
        <v>342</v>
      </c>
      <c r="L19" s="14" t="s">
        <v>325</v>
      </c>
      <c r="M19" s="14" t="s">
        <v>330</v>
      </c>
      <c r="N19" s="15" t="s">
        <v>369</v>
      </c>
      <c r="O19" s="13" t="s">
        <v>368</v>
      </c>
      <c r="P19" s="14" t="s">
        <v>333</v>
      </c>
      <c r="Q19" s="14" t="s">
        <v>368</v>
      </c>
      <c r="R19" s="14" t="s">
        <v>342</v>
      </c>
      <c r="S19" s="14" t="s">
        <v>337</v>
      </c>
      <c r="T19" s="14" t="s">
        <v>311</v>
      </c>
      <c r="U19" s="15" t="s">
        <v>311</v>
      </c>
      <c r="V19" s="13" t="s">
        <v>342</v>
      </c>
      <c r="W19" s="14" t="s">
        <v>325</v>
      </c>
      <c r="X19" s="14" t="s">
        <v>366</v>
      </c>
      <c r="Y19" s="14" t="s">
        <v>335</v>
      </c>
      <c r="Z19" s="14" t="s">
        <v>363</v>
      </c>
      <c r="AA19" s="14" t="s">
        <v>367</v>
      </c>
      <c r="AB19" s="16" t="s">
        <v>369</v>
      </c>
      <c r="AC19" s="17" t="s">
        <v>367</v>
      </c>
      <c r="AD19" s="14" t="s">
        <v>325</v>
      </c>
      <c r="AE19" s="14" t="s">
        <v>332</v>
      </c>
      <c r="AF19" s="14" t="s">
        <v>335</v>
      </c>
      <c r="AG19" s="14" t="s">
        <v>340</v>
      </c>
      <c r="AH19" s="14" t="s">
        <v>330</v>
      </c>
      <c r="AI19" s="16" t="s">
        <v>369</v>
      </c>
    </row>
    <row r="20" spans="1:35" ht="30" customHeight="1" x14ac:dyDescent="0.4">
      <c r="A20" s="115" t="s">
        <v>502</v>
      </c>
      <c r="B20" s="13" t="s">
        <v>337</v>
      </c>
      <c r="C20" s="14" t="s">
        <v>337</v>
      </c>
      <c r="D20" s="14" t="s">
        <v>337</v>
      </c>
      <c r="E20" s="14" t="s">
        <v>337</v>
      </c>
      <c r="G20" s="16" t="s">
        <v>337</v>
      </c>
      <c r="I20" s="14" t="s">
        <v>337</v>
      </c>
      <c r="J20" s="59" t="s">
        <v>371</v>
      </c>
      <c r="K20" s="14" t="s">
        <v>337</v>
      </c>
      <c r="L20" s="14" t="s">
        <v>337</v>
      </c>
      <c r="M20" s="14" t="s">
        <v>337</v>
      </c>
      <c r="N20" s="15" t="s">
        <v>337</v>
      </c>
      <c r="O20" s="61" t="s">
        <v>371</v>
      </c>
      <c r="P20" s="14" t="s">
        <v>337</v>
      </c>
      <c r="Q20" s="14" t="s">
        <v>337</v>
      </c>
      <c r="R20" s="14" t="s">
        <v>337</v>
      </c>
      <c r="S20" s="14" t="s">
        <v>337</v>
      </c>
      <c r="T20" s="14" t="s">
        <v>311</v>
      </c>
      <c r="U20" s="15" t="s">
        <v>311</v>
      </c>
      <c r="V20" s="13" t="s">
        <v>337</v>
      </c>
      <c r="W20" s="14" t="s">
        <v>337</v>
      </c>
      <c r="X20" s="14" t="s">
        <v>337</v>
      </c>
      <c r="Y20" s="14" t="s">
        <v>337</v>
      </c>
      <c r="AA20" s="14" t="s">
        <v>337</v>
      </c>
      <c r="AB20" s="16" t="s">
        <v>337</v>
      </c>
      <c r="AC20" s="65" t="s">
        <v>371</v>
      </c>
      <c r="AD20" s="14" t="s">
        <v>337</v>
      </c>
      <c r="AE20" s="14" t="s">
        <v>337</v>
      </c>
      <c r="AF20" s="14" t="s">
        <v>337</v>
      </c>
      <c r="AG20" s="14" t="s">
        <v>337</v>
      </c>
      <c r="AH20" s="14" t="s">
        <v>337</v>
      </c>
      <c r="AI20" s="16" t="s">
        <v>337</v>
      </c>
    </row>
    <row r="21" spans="1:35" ht="30" customHeight="1" x14ac:dyDescent="0.4">
      <c r="A21" s="115" t="s">
        <v>606</v>
      </c>
      <c r="B21" s="13" t="s">
        <v>337</v>
      </c>
      <c r="C21" s="14" t="s">
        <v>337</v>
      </c>
      <c r="D21" s="14" t="s">
        <v>337</v>
      </c>
      <c r="E21" s="14" t="s">
        <v>337</v>
      </c>
      <c r="F21" s="55" t="s">
        <v>370</v>
      </c>
      <c r="G21" s="15" t="s">
        <v>337</v>
      </c>
      <c r="H21" s="56" t="s">
        <v>370</v>
      </c>
      <c r="I21" s="14" t="s">
        <v>337</v>
      </c>
      <c r="J21" s="59" t="s">
        <v>372</v>
      </c>
      <c r="K21" s="14" t="s">
        <v>337</v>
      </c>
      <c r="L21" s="68" t="s">
        <v>373</v>
      </c>
      <c r="M21" s="14" t="s">
        <v>337</v>
      </c>
      <c r="N21" s="15" t="s">
        <v>337</v>
      </c>
      <c r="O21" s="61" t="s">
        <v>372</v>
      </c>
      <c r="P21" s="14" t="s">
        <v>337</v>
      </c>
      <c r="Q21" s="14" t="s">
        <v>337</v>
      </c>
      <c r="R21" s="14" t="s">
        <v>337</v>
      </c>
      <c r="S21" s="14" t="s">
        <v>337</v>
      </c>
      <c r="T21" s="14" t="s">
        <v>311</v>
      </c>
      <c r="U21" s="15" t="s">
        <v>311</v>
      </c>
      <c r="V21" s="13" t="s">
        <v>337</v>
      </c>
      <c r="W21" s="14" t="s">
        <v>337</v>
      </c>
      <c r="X21" s="68" t="s">
        <v>374</v>
      </c>
      <c r="Y21" s="14" t="s">
        <v>337</v>
      </c>
      <c r="Z21" s="55" t="s">
        <v>370</v>
      </c>
      <c r="AA21" s="14" t="s">
        <v>337</v>
      </c>
      <c r="AB21" s="16" t="s">
        <v>337</v>
      </c>
      <c r="AC21" s="65" t="s">
        <v>372</v>
      </c>
      <c r="AD21" s="14" t="s">
        <v>337</v>
      </c>
      <c r="AE21" s="68" t="s">
        <v>374</v>
      </c>
      <c r="AF21" s="14" t="s">
        <v>337</v>
      </c>
      <c r="AG21" s="14" t="s">
        <v>337</v>
      </c>
      <c r="AH21" s="14" t="s">
        <v>337</v>
      </c>
      <c r="AI21" s="16" t="s">
        <v>337</v>
      </c>
    </row>
    <row r="22" spans="1:35" ht="30" customHeight="1" thickBot="1" x14ac:dyDescent="0.45">
      <c r="A22" s="116" t="s">
        <v>607</v>
      </c>
      <c r="B22" s="23" t="s">
        <v>337</v>
      </c>
      <c r="C22" s="24" t="s">
        <v>337</v>
      </c>
      <c r="D22" s="24" t="s">
        <v>337</v>
      </c>
      <c r="E22" s="24" t="s">
        <v>337</v>
      </c>
      <c r="F22" s="123" t="s">
        <v>375</v>
      </c>
      <c r="G22" s="25" t="s">
        <v>337</v>
      </c>
      <c r="H22" s="124" t="s">
        <v>376</v>
      </c>
      <c r="I22" s="24" t="s">
        <v>337</v>
      </c>
      <c r="J22" s="24" t="s">
        <v>337</v>
      </c>
      <c r="K22" s="24" t="s">
        <v>337</v>
      </c>
      <c r="L22" s="24" t="s">
        <v>337</v>
      </c>
      <c r="M22" s="24" t="s">
        <v>337</v>
      </c>
      <c r="N22" s="25" t="s">
        <v>337</v>
      </c>
      <c r="O22" s="23" t="s">
        <v>337</v>
      </c>
      <c r="P22" s="24" t="s">
        <v>337</v>
      </c>
      <c r="Q22" s="24" t="s">
        <v>337</v>
      </c>
      <c r="R22" s="24" t="s">
        <v>337</v>
      </c>
      <c r="S22" s="24" t="s">
        <v>337</v>
      </c>
      <c r="T22" s="24" t="s">
        <v>311</v>
      </c>
      <c r="U22" s="25" t="s">
        <v>311</v>
      </c>
      <c r="V22" s="23" t="s">
        <v>337</v>
      </c>
      <c r="W22" s="24" t="s">
        <v>337</v>
      </c>
      <c r="X22" s="24" t="s">
        <v>337</v>
      </c>
      <c r="Y22" s="24" t="s">
        <v>337</v>
      </c>
      <c r="Z22" s="123" t="s">
        <v>375</v>
      </c>
      <c r="AA22" s="24" t="s">
        <v>337</v>
      </c>
      <c r="AB22" s="26" t="s">
        <v>337</v>
      </c>
      <c r="AC22" s="27" t="s">
        <v>337</v>
      </c>
      <c r="AD22" s="24" t="s">
        <v>337</v>
      </c>
      <c r="AE22" s="24" t="s">
        <v>337</v>
      </c>
      <c r="AF22" s="24" t="s">
        <v>337</v>
      </c>
      <c r="AG22" s="24" t="s">
        <v>337</v>
      </c>
      <c r="AH22" s="24" t="s">
        <v>337</v>
      </c>
      <c r="AI22" s="26" t="s">
        <v>337</v>
      </c>
    </row>
    <row r="23" spans="1:35" ht="30" customHeight="1" x14ac:dyDescent="0.4">
      <c r="A23" s="117" t="s">
        <v>494</v>
      </c>
      <c r="B23" s="121" t="s">
        <v>377</v>
      </c>
      <c r="C23" s="80" t="s">
        <v>378</v>
      </c>
      <c r="D23" s="81" t="s">
        <v>379</v>
      </c>
      <c r="E23" s="82" t="s">
        <v>380</v>
      </c>
      <c r="F23" s="80" t="s">
        <v>381</v>
      </c>
      <c r="G23" s="83" t="s">
        <v>492</v>
      </c>
      <c r="H23" s="84" t="s">
        <v>379</v>
      </c>
      <c r="I23" s="85" t="s">
        <v>492</v>
      </c>
      <c r="J23" s="80" t="s">
        <v>383</v>
      </c>
      <c r="K23" s="82" t="s">
        <v>380</v>
      </c>
      <c r="L23" s="80" t="s">
        <v>384</v>
      </c>
      <c r="M23" s="86" t="s">
        <v>385</v>
      </c>
      <c r="N23" s="87" t="s">
        <v>564</v>
      </c>
      <c r="O23" s="88" t="s">
        <v>382</v>
      </c>
      <c r="P23" s="82" t="s">
        <v>380</v>
      </c>
      <c r="Q23" s="86" t="s">
        <v>385</v>
      </c>
      <c r="R23" s="122" t="s">
        <v>377</v>
      </c>
      <c r="S23" s="80" t="s">
        <v>564</v>
      </c>
      <c r="T23" s="8" t="s">
        <v>311</v>
      </c>
      <c r="U23" s="9" t="s">
        <v>311</v>
      </c>
      <c r="V23" s="84" t="s">
        <v>379</v>
      </c>
      <c r="W23" s="85" t="s">
        <v>382</v>
      </c>
      <c r="X23" s="80" t="s">
        <v>386</v>
      </c>
      <c r="Y23" s="80" t="s">
        <v>387</v>
      </c>
      <c r="Z23" s="86" t="s">
        <v>385</v>
      </c>
      <c r="AA23" s="122" t="s">
        <v>377</v>
      </c>
      <c r="AB23" s="89" t="s">
        <v>564</v>
      </c>
      <c r="AC23" s="90" t="s">
        <v>379</v>
      </c>
      <c r="AD23" s="82" t="s">
        <v>380</v>
      </c>
      <c r="AE23" s="80" t="s">
        <v>388</v>
      </c>
      <c r="AF23" s="102" t="s">
        <v>389</v>
      </c>
      <c r="AG23" s="86" t="s">
        <v>385</v>
      </c>
      <c r="AH23" s="122" t="s">
        <v>377</v>
      </c>
      <c r="AI23" s="89" t="s">
        <v>390</v>
      </c>
    </row>
    <row r="24" spans="1:35" ht="30" customHeight="1" x14ac:dyDescent="0.4">
      <c r="A24" s="115" t="s">
        <v>495</v>
      </c>
      <c r="B24" s="32" t="s">
        <v>391</v>
      </c>
      <c r="C24" s="14" t="s">
        <v>388</v>
      </c>
      <c r="D24" s="36" t="s">
        <v>392</v>
      </c>
      <c r="E24" s="18" t="s">
        <v>393</v>
      </c>
      <c r="F24" s="14" t="s">
        <v>383</v>
      </c>
      <c r="G24" s="40" t="s">
        <v>394</v>
      </c>
      <c r="H24" s="37" t="s">
        <v>392</v>
      </c>
      <c r="I24" s="43" t="s">
        <v>394</v>
      </c>
      <c r="J24" s="14" t="s">
        <v>390</v>
      </c>
      <c r="K24" s="18" t="s">
        <v>395</v>
      </c>
      <c r="L24" s="14" t="s">
        <v>386</v>
      </c>
      <c r="M24" s="48" t="s">
        <v>396</v>
      </c>
      <c r="N24" s="87" t="s">
        <v>564</v>
      </c>
      <c r="O24" s="46" t="s">
        <v>394</v>
      </c>
      <c r="P24" s="18" t="s">
        <v>395</v>
      </c>
      <c r="Q24" s="48" t="s">
        <v>396</v>
      </c>
      <c r="R24" s="34" t="s">
        <v>397</v>
      </c>
      <c r="S24" s="80" t="s">
        <v>564</v>
      </c>
      <c r="T24" s="14" t="s">
        <v>311</v>
      </c>
      <c r="U24" s="15" t="s">
        <v>311</v>
      </c>
      <c r="V24" s="37" t="s">
        <v>392</v>
      </c>
      <c r="W24" s="43" t="s">
        <v>394</v>
      </c>
      <c r="X24" s="14" t="s">
        <v>387</v>
      </c>
      <c r="Y24" s="14" t="s">
        <v>398</v>
      </c>
      <c r="Z24" s="48" t="s">
        <v>396</v>
      </c>
      <c r="AA24" s="34" t="s">
        <v>397</v>
      </c>
      <c r="AB24" s="89" t="s">
        <v>564</v>
      </c>
      <c r="AC24" s="38" t="s">
        <v>399</v>
      </c>
      <c r="AD24" s="18" t="s">
        <v>393</v>
      </c>
      <c r="AE24" s="14" t="s">
        <v>378</v>
      </c>
      <c r="AF24" s="50" t="s">
        <v>400</v>
      </c>
      <c r="AG24" s="48" t="s">
        <v>396</v>
      </c>
      <c r="AH24" s="34" t="s">
        <v>401</v>
      </c>
      <c r="AI24" s="16" t="s">
        <v>384</v>
      </c>
    </row>
    <row r="25" spans="1:35" ht="30" customHeight="1" x14ac:dyDescent="0.4">
      <c r="A25" s="117" t="s">
        <v>496</v>
      </c>
      <c r="B25" s="32" t="s">
        <v>402</v>
      </c>
      <c r="C25" s="14" t="s">
        <v>390</v>
      </c>
      <c r="D25" s="36" t="s">
        <v>403</v>
      </c>
      <c r="E25" s="18" t="s">
        <v>404</v>
      </c>
      <c r="F25" s="14" t="s">
        <v>386</v>
      </c>
      <c r="G25" s="40" t="s">
        <v>405</v>
      </c>
      <c r="H25" s="37" t="s">
        <v>403</v>
      </c>
      <c r="I25" s="43" t="s">
        <v>406</v>
      </c>
      <c r="J25" s="14" t="s">
        <v>387</v>
      </c>
      <c r="K25" s="18" t="s">
        <v>404</v>
      </c>
      <c r="L25" s="14" t="s">
        <v>407</v>
      </c>
      <c r="M25" s="48" t="s">
        <v>408</v>
      </c>
      <c r="N25" s="87" t="s">
        <v>564</v>
      </c>
      <c r="O25" s="46" t="s">
        <v>405</v>
      </c>
      <c r="P25" s="18" t="s">
        <v>404</v>
      </c>
      <c r="Q25" s="48" t="s">
        <v>408</v>
      </c>
      <c r="R25" s="34" t="s">
        <v>402</v>
      </c>
      <c r="S25" s="80" t="s">
        <v>564</v>
      </c>
      <c r="T25" s="14" t="s">
        <v>311</v>
      </c>
      <c r="U25" s="15" t="s">
        <v>311</v>
      </c>
      <c r="V25" s="37" t="s">
        <v>403</v>
      </c>
      <c r="W25" s="43" t="s">
        <v>405</v>
      </c>
      <c r="X25" s="14" t="s">
        <v>383</v>
      </c>
      <c r="Y25" s="14" t="s">
        <v>378</v>
      </c>
      <c r="Z25" s="48" t="s">
        <v>408</v>
      </c>
      <c r="AA25" s="34" t="s">
        <v>402</v>
      </c>
      <c r="AB25" s="89" t="s">
        <v>564</v>
      </c>
      <c r="AC25" s="38" t="s">
        <v>403</v>
      </c>
      <c r="AD25" s="18" t="s">
        <v>404</v>
      </c>
      <c r="AE25" s="14" t="s">
        <v>384</v>
      </c>
      <c r="AF25" s="50" t="s">
        <v>409</v>
      </c>
      <c r="AG25" s="48" t="s">
        <v>408</v>
      </c>
      <c r="AH25" s="34" t="s">
        <v>402</v>
      </c>
      <c r="AI25" s="16" t="s">
        <v>388</v>
      </c>
    </row>
    <row r="26" spans="1:35" ht="30" customHeight="1" x14ac:dyDescent="0.4">
      <c r="A26" s="115" t="s">
        <v>497</v>
      </c>
      <c r="B26" s="32" t="s">
        <v>410</v>
      </c>
      <c r="C26" s="14" t="s">
        <v>383</v>
      </c>
      <c r="D26" s="36" t="s">
        <v>411</v>
      </c>
      <c r="E26" s="18" t="s">
        <v>412</v>
      </c>
      <c r="F26" s="14" t="s">
        <v>388</v>
      </c>
      <c r="G26" s="40" t="s">
        <v>413</v>
      </c>
      <c r="H26" s="37" t="s">
        <v>414</v>
      </c>
      <c r="I26" s="43" t="s">
        <v>413</v>
      </c>
      <c r="J26" s="14" t="s">
        <v>378</v>
      </c>
      <c r="K26" s="18" t="s">
        <v>412</v>
      </c>
      <c r="L26" s="14" t="s">
        <v>390</v>
      </c>
      <c r="M26" s="48" t="s">
        <v>415</v>
      </c>
      <c r="N26" s="87" t="s">
        <v>564</v>
      </c>
      <c r="O26" s="46" t="s">
        <v>413</v>
      </c>
      <c r="P26" s="18" t="s">
        <v>412</v>
      </c>
      <c r="Q26" s="48" t="s">
        <v>415</v>
      </c>
      <c r="R26" s="34" t="s">
        <v>410</v>
      </c>
      <c r="S26" s="80" t="s">
        <v>564</v>
      </c>
      <c r="T26" s="14" t="s">
        <v>311</v>
      </c>
      <c r="U26" s="15" t="s">
        <v>311</v>
      </c>
      <c r="V26" s="37" t="s">
        <v>411</v>
      </c>
      <c r="W26" s="43" t="s">
        <v>413</v>
      </c>
      <c r="X26" s="14" t="s">
        <v>384</v>
      </c>
      <c r="Y26" s="14" t="s">
        <v>416</v>
      </c>
      <c r="Z26" s="48" t="s">
        <v>415</v>
      </c>
      <c r="AA26" s="34" t="s">
        <v>410</v>
      </c>
      <c r="AB26" s="89" t="s">
        <v>564</v>
      </c>
      <c r="AC26" s="38" t="s">
        <v>417</v>
      </c>
      <c r="AD26" s="18" t="s">
        <v>412</v>
      </c>
      <c r="AE26" s="14" t="s">
        <v>386</v>
      </c>
      <c r="AF26" s="50" t="s">
        <v>418</v>
      </c>
      <c r="AG26" s="48" t="s">
        <v>415</v>
      </c>
      <c r="AH26" s="34" t="s">
        <v>410</v>
      </c>
      <c r="AI26" s="16" t="s">
        <v>407</v>
      </c>
    </row>
    <row r="27" spans="1:35" ht="30" customHeight="1" x14ac:dyDescent="0.4">
      <c r="A27" s="117" t="s">
        <v>498</v>
      </c>
      <c r="B27" s="32" t="s">
        <v>419</v>
      </c>
      <c r="C27" s="14" t="s">
        <v>384</v>
      </c>
      <c r="D27" s="36" t="s">
        <v>420</v>
      </c>
      <c r="E27" s="18" t="s">
        <v>421</v>
      </c>
      <c r="F27" s="14" t="s">
        <v>390</v>
      </c>
      <c r="G27" s="40" t="s">
        <v>422</v>
      </c>
      <c r="H27" s="37" t="s">
        <v>420</v>
      </c>
      <c r="I27" s="43" t="s">
        <v>422</v>
      </c>
      <c r="J27" s="14" t="s">
        <v>388</v>
      </c>
      <c r="K27" s="18" t="s">
        <v>421</v>
      </c>
      <c r="L27" s="14" t="s">
        <v>423</v>
      </c>
      <c r="M27" s="48" t="s">
        <v>424</v>
      </c>
      <c r="N27" s="87" t="s">
        <v>564</v>
      </c>
      <c r="O27" s="46" t="s">
        <v>422</v>
      </c>
      <c r="P27" s="18" t="s">
        <v>421</v>
      </c>
      <c r="Q27" s="48" t="s">
        <v>425</v>
      </c>
      <c r="R27" s="34" t="s">
        <v>426</v>
      </c>
      <c r="S27" s="80" t="s">
        <v>564</v>
      </c>
      <c r="T27" s="14" t="s">
        <v>311</v>
      </c>
      <c r="U27" s="15" t="s">
        <v>311</v>
      </c>
      <c r="V27" s="37" t="s">
        <v>420</v>
      </c>
      <c r="W27" s="43" t="s">
        <v>422</v>
      </c>
      <c r="X27" s="14" t="s">
        <v>427</v>
      </c>
      <c r="Y27" s="14" t="s">
        <v>428</v>
      </c>
      <c r="Z27" s="48" t="s">
        <v>429</v>
      </c>
      <c r="AA27" s="34" t="s">
        <v>426</v>
      </c>
      <c r="AB27" s="89" t="s">
        <v>564</v>
      </c>
      <c r="AC27" s="38" t="s">
        <v>420</v>
      </c>
      <c r="AD27" s="18" t="s">
        <v>421</v>
      </c>
      <c r="AE27" s="14" t="s">
        <v>430</v>
      </c>
      <c r="AF27" s="50" t="s">
        <v>431</v>
      </c>
      <c r="AG27" s="48" t="s">
        <v>425</v>
      </c>
      <c r="AH27" s="34" t="s">
        <v>426</v>
      </c>
      <c r="AI27" s="16" t="s">
        <v>416</v>
      </c>
    </row>
    <row r="28" spans="1:35" ht="30" customHeight="1" x14ac:dyDescent="0.4">
      <c r="A28" s="115" t="s">
        <v>499</v>
      </c>
      <c r="B28" s="32" t="s">
        <v>432</v>
      </c>
      <c r="C28" s="14" t="s">
        <v>430</v>
      </c>
      <c r="D28" s="36" t="s">
        <v>433</v>
      </c>
      <c r="E28" s="18" t="s">
        <v>434</v>
      </c>
      <c r="F28" s="14" t="s">
        <v>427</v>
      </c>
      <c r="G28" s="40" t="s">
        <v>435</v>
      </c>
      <c r="H28" s="37" t="s">
        <v>433</v>
      </c>
      <c r="I28" s="43" t="s">
        <v>435</v>
      </c>
      <c r="J28" s="14" t="s">
        <v>384</v>
      </c>
      <c r="K28" s="18" t="s">
        <v>434</v>
      </c>
      <c r="L28" s="14" t="s">
        <v>428</v>
      </c>
      <c r="M28" s="48" t="s">
        <v>436</v>
      </c>
      <c r="N28" s="87" t="s">
        <v>564</v>
      </c>
      <c r="O28" s="46" t="s">
        <v>435</v>
      </c>
      <c r="P28" s="18" t="s">
        <v>437</v>
      </c>
      <c r="Q28" s="48" t="s">
        <v>436</v>
      </c>
      <c r="R28" s="34" t="s">
        <v>432</v>
      </c>
      <c r="S28" s="80" t="s">
        <v>564</v>
      </c>
      <c r="T28" s="14" t="s">
        <v>311</v>
      </c>
      <c r="U28" s="15" t="s">
        <v>311</v>
      </c>
      <c r="V28" s="37" t="s">
        <v>433</v>
      </c>
      <c r="W28" s="43" t="s">
        <v>435</v>
      </c>
      <c r="X28" s="14" t="s">
        <v>390</v>
      </c>
      <c r="Y28" s="14" t="s">
        <v>388</v>
      </c>
      <c r="Z28" s="48" t="s">
        <v>436</v>
      </c>
      <c r="AA28" s="34" t="s">
        <v>432</v>
      </c>
      <c r="AB28" s="89" t="s">
        <v>564</v>
      </c>
      <c r="AC28" s="38" t="s">
        <v>433</v>
      </c>
      <c r="AD28" s="18" t="s">
        <v>434</v>
      </c>
      <c r="AE28" s="14" t="s">
        <v>416</v>
      </c>
      <c r="AF28" s="50" t="s">
        <v>438</v>
      </c>
      <c r="AG28" s="48" t="s">
        <v>436</v>
      </c>
      <c r="AH28" s="34" t="s">
        <v>432</v>
      </c>
      <c r="AI28" s="16" t="s">
        <v>439</v>
      </c>
    </row>
    <row r="29" spans="1:35" ht="30" customHeight="1" x14ac:dyDescent="0.4">
      <c r="A29" s="117" t="s">
        <v>500</v>
      </c>
      <c r="B29" s="32" t="s">
        <v>440</v>
      </c>
      <c r="C29" s="14" t="s">
        <v>428</v>
      </c>
      <c r="D29" s="36" t="s">
        <v>441</v>
      </c>
      <c r="E29" s="18" t="s">
        <v>442</v>
      </c>
      <c r="F29" s="14" t="s">
        <v>384</v>
      </c>
      <c r="G29" s="40" t="s">
        <v>443</v>
      </c>
      <c r="H29" s="37" t="s">
        <v>441</v>
      </c>
      <c r="I29" s="43" t="s">
        <v>443</v>
      </c>
      <c r="J29" s="14" t="s">
        <v>439</v>
      </c>
      <c r="K29" s="18" t="s">
        <v>442</v>
      </c>
      <c r="L29" s="14" t="s">
        <v>388</v>
      </c>
      <c r="M29" s="48" t="s">
        <v>444</v>
      </c>
      <c r="N29" s="87" t="s">
        <v>564</v>
      </c>
      <c r="O29" s="46" t="s">
        <v>443</v>
      </c>
      <c r="P29" s="18" t="s">
        <v>442</v>
      </c>
      <c r="Q29" s="48" t="s">
        <v>445</v>
      </c>
      <c r="R29" s="34" t="s">
        <v>440</v>
      </c>
      <c r="S29" s="80" t="s">
        <v>564</v>
      </c>
      <c r="T29" s="14" t="s">
        <v>311</v>
      </c>
      <c r="U29" s="15" t="s">
        <v>311</v>
      </c>
      <c r="V29" s="37" t="s">
        <v>441</v>
      </c>
      <c r="W29" s="43" t="s">
        <v>443</v>
      </c>
      <c r="X29" s="14" t="s">
        <v>416</v>
      </c>
      <c r="Y29" s="14" t="s">
        <v>446</v>
      </c>
      <c r="Z29" s="48" t="s">
        <v>445</v>
      </c>
      <c r="AA29" s="34" t="s">
        <v>440</v>
      </c>
      <c r="AB29" s="89" t="s">
        <v>564</v>
      </c>
      <c r="AC29" s="38" t="s">
        <v>441</v>
      </c>
      <c r="AD29" s="18" t="s">
        <v>442</v>
      </c>
      <c r="AE29" s="14" t="s">
        <v>447</v>
      </c>
      <c r="AF29" s="50" t="s">
        <v>448</v>
      </c>
      <c r="AG29" s="48" t="s">
        <v>445</v>
      </c>
      <c r="AH29" s="34" t="s">
        <v>440</v>
      </c>
      <c r="AI29" s="16" t="s">
        <v>430</v>
      </c>
    </row>
    <row r="30" spans="1:35" ht="30" customHeight="1" x14ac:dyDescent="0.4">
      <c r="A30" s="115" t="s">
        <v>501</v>
      </c>
      <c r="B30" s="13" t="s">
        <v>449</v>
      </c>
      <c r="C30" s="14" t="s">
        <v>450</v>
      </c>
      <c r="D30" s="14" t="s">
        <v>446</v>
      </c>
      <c r="E30" s="14" t="s">
        <v>450</v>
      </c>
      <c r="F30" s="14" t="s">
        <v>451</v>
      </c>
      <c r="G30" s="15" t="s">
        <v>452</v>
      </c>
      <c r="H30" s="13" t="s">
        <v>381</v>
      </c>
      <c r="I30" s="14" t="s">
        <v>451</v>
      </c>
      <c r="J30" s="14" t="s">
        <v>453</v>
      </c>
      <c r="K30" s="14" t="s">
        <v>450</v>
      </c>
      <c r="L30" s="14" t="s">
        <v>449</v>
      </c>
      <c r="M30" s="14" t="s">
        <v>451</v>
      </c>
      <c r="N30" s="15" t="s">
        <v>337</v>
      </c>
      <c r="O30" s="13" t="s">
        <v>452</v>
      </c>
      <c r="P30" s="14" t="s">
        <v>447</v>
      </c>
      <c r="Q30" s="14" t="s">
        <v>451</v>
      </c>
      <c r="R30" s="14" t="s">
        <v>450</v>
      </c>
      <c r="S30" s="14" t="s">
        <v>453</v>
      </c>
      <c r="T30" s="14" t="s">
        <v>311</v>
      </c>
      <c r="U30" s="15" t="s">
        <v>311</v>
      </c>
      <c r="V30" s="13" t="s">
        <v>452</v>
      </c>
      <c r="W30" s="14" t="s">
        <v>453</v>
      </c>
      <c r="X30" s="14" t="s">
        <v>428</v>
      </c>
      <c r="Y30" s="14" t="s">
        <v>430</v>
      </c>
      <c r="Z30" s="14" t="s">
        <v>449</v>
      </c>
      <c r="AA30" s="14" t="s">
        <v>388</v>
      </c>
      <c r="AB30" s="16" t="s">
        <v>337</v>
      </c>
      <c r="AC30" s="17" t="s">
        <v>384</v>
      </c>
      <c r="AD30" s="14" t="s">
        <v>388</v>
      </c>
      <c r="AE30" s="14" t="s">
        <v>428</v>
      </c>
      <c r="AF30" s="50" t="s">
        <v>454</v>
      </c>
      <c r="AG30" s="14" t="s">
        <v>453</v>
      </c>
      <c r="AH30" s="14" t="s">
        <v>452</v>
      </c>
      <c r="AI30" s="16" t="s">
        <v>449</v>
      </c>
    </row>
    <row r="31" spans="1:35" ht="30" customHeight="1" x14ac:dyDescent="0.4">
      <c r="A31" s="115" t="s">
        <v>601</v>
      </c>
      <c r="B31" s="32" t="s">
        <v>455</v>
      </c>
      <c r="C31" s="14" t="s">
        <v>337</v>
      </c>
      <c r="D31" s="36" t="s">
        <v>456</v>
      </c>
      <c r="E31" s="18" t="s">
        <v>457</v>
      </c>
      <c r="F31" s="14" t="s">
        <v>337</v>
      </c>
      <c r="G31" s="40" t="s">
        <v>458</v>
      </c>
      <c r="H31" s="37" t="s">
        <v>459</v>
      </c>
      <c r="I31" s="43" t="s">
        <v>460</v>
      </c>
      <c r="J31" s="14" t="s">
        <v>337</v>
      </c>
      <c r="K31" s="18" t="s">
        <v>457</v>
      </c>
      <c r="L31" s="14" t="s">
        <v>337</v>
      </c>
      <c r="M31" s="48" t="s">
        <v>461</v>
      </c>
      <c r="N31" s="15" t="s">
        <v>337</v>
      </c>
      <c r="O31" s="46" t="s">
        <v>458</v>
      </c>
      <c r="P31" s="18" t="s">
        <v>457</v>
      </c>
      <c r="Q31" s="48" t="s">
        <v>461</v>
      </c>
      <c r="R31" s="34" t="s">
        <v>455</v>
      </c>
      <c r="S31" s="14" t="s">
        <v>337</v>
      </c>
      <c r="T31" s="14" t="s">
        <v>311</v>
      </c>
      <c r="U31" s="15" t="s">
        <v>311</v>
      </c>
      <c r="V31" s="37" t="s">
        <v>456</v>
      </c>
      <c r="W31" s="43" t="s">
        <v>460</v>
      </c>
      <c r="X31" s="14" t="s">
        <v>337</v>
      </c>
      <c r="Y31" s="14" t="s">
        <v>337</v>
      </c>
      <c r="Z31" s="48" t="s">
        <v>461</v>
      </c>
      <c r="AA31" s="34" t="s">
        <v>455</v>
      </c>
      <c r="AB31" s="16" t="s">
        <v>337</v>
      </c>
      <c r="AC31" s="38" t="s">
        <v>459</v>
      </c>
      <c r="AD31" s="18" t="s">
        <v>457</v>
      </c>
      <c r="AE31" s="14" t="s">
        <v>337</v>
      </c>
      <c r="AF31" s="50" t="s">
        <v>462</v>
      </c>
      <c r="AG31" s="48" t="s">
        <v>461</v>
      </c>
      <c r="AH31" s="34" t="s">
        <v>455</v>
      </c>
      <c r="AI31" s="16" t="s">
        <v>337</v>
      </c>
    </row>
    <row r="32" spans="1:35" ht="30" customHeight="1" x14ac:dyDescent="0.4">
      <c r="A32" s="115" t="s">
        <v>602</v>
      </c>
      <c r="B32" s="32" t="s">
        <v>463</v>
      </c>
      <c r="C32" s="14" t="s">
        <v>337</v>
      </c>
      <c r="D32" s="36" t="s">
        <v>464</v>
      </c>
      <c r="E32" s="18" t="s">
        <v>465</v>
      </c>
      <c r="F32" s="14" t="s">
        <v>337</v>
      </c>
      <c r="G32" s="40" t="s">
        <v>466</v>
      </c>
      <c r="H32" s="37" t="s">
        <v>464</v>
      </c>
      <c r="I32" s="43" t="s">
        <v>466</v>
      </c>
      <c r="J32" s="14" t="s">
        <v>337</v>
      </c>
      <c r="K32" s="18" t="s">
        <v>465</v>
      </c>
      <c r="L32" s="14" t="s">
        <v>337</v>
      </c>
      <c r="M32" s="48" t="s">
        <v>467</v>
      </c>
      <c r="N32" s="15" t="s">
        <v>337</v>
      </c>
      <c r="O32" s="46" t="s">
        <v>466</v>
      </c>
      <c r="P32" s="18" t="s">
        <v>465</v>
      </c>
      <c r="Q32" s="48" t="s">
        <v>468</v>
      </c>
      <c r="R32" s="34" t="s">
        <v>463</v>
      </c>
      <c r="S32" s="14" t="s">
        <v>337</v>
      </c>
      <c r="T32" s="14" t="s">
        <v>311</v>
      </c>
      <c r="U32" s="15" t="s">
        <v>311</v>
      </c>
      <c r="V32" s="37" t="s">
        <v>464</v>
      </c>
      <c r="W32" s="43" t="s">
        <v>466</v>
      </c>
      <c r="X32" s="14" t="s">
        <v>337</v>
      </c>
      <c r="Y32" s="14" t="s">
        <v>337</v>
      </c>
      <c r="Z32" s="48" t="s">
        <v>467</v>
      </c>
      <c r="AA32" s="34" t="s">
        <v>463</v>
      </c>
      <c r="AB32" s="16" t="s">
        <v>337</v>
      </c>
      <c r="AC32" s="38" t="s">
        <v>464</v>
      </c>
      <c r="AD32" s="18" t="s">
        <v>465</v>
      </c>
      <c r="AE32" s="14" t="s">
        <v>337</v>
      </c>
      <c r="AF32" s="50" t="s">
        <v>469</v>
      </c>
      <c r="AG32" s="48" t="s">
        <v>468</v>
      </c>
      <c r="AH32" s="34" t="s">
        <v>463</v>
      </c>
      <c r="AI32" s="16" t="s">
        <v>337</v>
      </c>
    </row>
    <row r="33" spans="1:35" ht="30" customHeight="1" thickBot="1" x14ac:dyDescent="0.45">
      <c r="A33" s="116" t="s">
        <v>603</v>
      </c>
      <c r="B33" s="92" t="s">
        <v>470</v>
      </c>
      <c r="C33" s="24" t="s">
        <v>337</v>
      </c>
      <c r="D33" s="24" t="s">
        <v>337</v>
      </c>
      <c r="E33" s="94" t="s">
        <v>471</v>
      </c>
      <c r="F33" s="24" t="s">
        <v>337</v>
      </c>
      <c r="G33" s="25" t="s">
        <v>337</v>
      </c>
      <c r="H33" s="23" t="s">
        <v>337</v>
      </c>
      <c r="I33" s="24" t="s">
        <v>337</v>
      </c>
      <c r="J33" s="24" t="s">
        <v>337</v>
      </c>
      <c r="K33" s="94" t="s">
        <v>471</v>
      </c>
      <c r="L33" s="24" t="s">
        <v>337</v>
      </c>
      <c r="M33" s="24" t="s">
        <v>337</v>
      </c>
      <c r="N33" s="25" t="s">
        <v>337</v>
      </c>
      <c r="O33" s="23" t="s">
        <v>337</v>
      </c>
      <c r="P33" s="94" t="s">
        <v>471</v>
      </c>
      <c r="Q33" s="24" t="s">
        <v>337</v>
      </c>
      <c r="R33" s="97" t="s">
        <v>470</v>
      </c>
      <c r="S33" s="24" t="s">
        <v>337</v>
      </c>
      <c r="T33" s="24" t="s">
        <v>311</v>
      </c>
      <c r="U33" s="25" t="s">
        <v>311</v>
      </c>
      <c r="V33" s="23" t="s">
        <v>337</v>
      </c>
      <c r="W33" s="24" t="s">
        <v>337</v>
      </c>
      <c r="X33" s="24" t="s">
        <v>337</v>
      </c>
      <c r="Y33" s="24" t="s">
        <v>337</v>
      </c>
      <c r="Z33" s="24" t="s">
        <v>337</v>
      </c>
      <c r="AA33" s="97" t="s">
        <v>470</v>
      </c>
      <c r="AB33" s="26" t="s">
        <v>337</v>
      </c>
      <c r="AC33" s="27" t="s">
        <v>337</v>
      </c>
      <c r="AD33" s="94" t="s">
        <v>471</v>
      </c>
      <c r="AE33" s="24" t="s">
        <v>337</v>
      </c>
      <c r="AF33" s="110" t="s">
        <v>472</v>
      </c>
      <c r="AG33" s="24" t="s">
        <v>337</v>
      </c>
      <c r="AH33" s="97" t="s">
        <v>470</v>
      </c>
      <c r="AI33" s="26" t="s">
        <v>337</v>
      </c>
    </row>
  </sheetData>
  <mergeCells count="7">
    <mergeCell ref="A1:AI1"/>
    <mergeCell ref="A2:A3"/>
    <mergeCell ref="B2:G2"/>
    <mergeCell ref="H2:N2"/>
    <mergeCell ref="O2:U2"/>
    <mergeCell ref="V2:AB2"/>
    <mergeCell ref="AC2:AI2"/>
  </mergeCells>
  <phoneticPr fontId="3" type="noConversion"/>
  <pageMargins left="0.7" right="0.7" top="0.75" bottom="0.75" header="0.3" footer="0.3"/>
  <pageSetup paperSize="12" scale="5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F98C8-AD2A-4A88-A946-98ABDB1DC80C}">
  <dimension ref="A1:AI33"/>
  <sheetViews>
    <sheetView view="pageBreakPreview" zoomScale="60" zoomScaleNormal="6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C16" sqref="C16"/>
    </sheetView>
  </sheetViews>
  <sheetFormatPr defaultRowHeight="13.2" x14ac:dyDescent="0.4"/>
  <cols>
    <col min="1" max="1" width="7.69921875" style="28" customWidth="1"/>
    <col min="2" max="35" width="8.69921875" style="28" customWidth="1"/>
    <col min="36" max="16384" width="8.796875" style="28"/>
  </cols>
  <sheetData>
    <row r="1" spans="1:35" ht="42" customHeight="1" thickBot="1" x14ac:dyDescent="0.45">
      <c r="A1" s="171" t="s">
        <v>503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2"/>
      <c r="X1" s="172"/>
      <c r="Y1" s="172"/>
      <c r="Z1" s="172"/>
      <c r="AA1" s="172"/>
      <c r="AB1" s="172"/>
      <c r="AC1" s="172"/>
      <c r="AD1" s="172"/>
      <c r="AE1" s="172"/>
      <c r="AF1" s="172"/>
      <c r="AG1" s="172"/>
      <c r="AH1" s="172"/>
      <c r="AI1" s="172"/>
    </row>
    <row r="2" spans="1:35" ht="18" customHeight="1" x14ac:dyDescent="0.4">
      <c r="A2" s="173" t="s">
        <v>294</v>
      </c>
      <c r="B2" s="157" t="s">
        <v>1</v>
      </c>
      <c r="C2" s="158"/>
      <c r="D2" s="158"/>
      <c r="E2" s="158"/>
      <c r="F2" s="158"/>
      <c r="G2" s="159"/>
      <c r="H2" s="157" t="s">
        <v>2</v>
      </c>
      <c r="I2" s="158"/>
      <c r="J2" s="158"/>
      <c r="K2" s="158"/>
      <c r="L2" s="158"/>
      <c r="M2" s="158"/>
      <c r="N2" s="159"/>
      <c r="O2" s="157" t="s">
        <v>3</v>
      </c>
      <c r="P2" s="158"/>
      <c r="Q2" s="158"/>
      <c r="R2" s="158"/>
      <c r="S2" s="158"/>
      <c r="T2" s="158"/>
      <c r="U2" s="159"/>
      <c r="V2" s="157" t="s">
        <v>4</v>
      </c>
      <c r="W2" s="158"/>
      <c r="X2" s="158"/>
      <c r="Y2" s="158"/>
      <c r="Z2" s="158"/>
      <c r="AA2" s="158"/>
      <c r="AB2" s="160"/>
      <c r="AC2" s="161" t="s">
        <v>5</v>
      </c>
      <c r="AD2" s="158"/>
      <c r="AE2" s="158"/>
      <c r="AF2" s="158"/>
      <c r="AG2" s="158"/>
      <c r="AH2" s="158"/>
      <c r="AI2" s="160"/>
    </row>
    <row r="3" spans="1:35" ht="18" customHeight="1" thickBot="1" x14ac:dyDescent="0.45">
      <c r="A3" s="174"/>
      <c r="B3" s="1">
        <v>1</v>
      </c>
      <c r="C3" s="2">
        <v>2</v>
      </c>
      <c r="D3" s="2">
        <v>3</v>
      </c>
      <c r="E3" s="2">
        <v>4</v>
      </c>
      <c r="F3" s="2">
        <v>5</v>
      </c>
      <c r="G3" s="3">
        <v>6</v>
      </c>
      <c r="H3" s="1">
        <v>1</v>
      </c>
      <c r="I3" s="2">
        <v>2</v>
      </c>
      <c r="J3" s="2">
        <v>3</v>
      </c>
      <c r="K3" s="2">
        <v>4</v>
      </c>
      <c r="L3" s="2">
        <v>5</v>
      </c>
      <c r="M3" s="2">
        <v>6</v>
      </c>
      <c r="N3" s="3">
        <v>7</v>
      </c>
      <c r="O3" s="1">
        <v>1</v>
      </c>
      <c r="P3" s="2">
        <v>2</v>
      </c>
      <c r="Q3" s="2">
        <v>3</v>
      </c>
      <c r="R3" s="2">
        <v>4</v>
      </c>
      <c r="S3" s="2">
        <v>5</v>
      </c>
      <c r="T3" s="2">
        <v>6</v>
      </c>
      <c r="U3" s="3">
        <v>7</v>
      </c>
      <c r="V3" s="1">
        <v>1</v>
      </c>
      <c r="W3" s="2">
        <v>2</v>
      </c>
      <c r="X3" s="2">
        <v>3</v>
      </c>
      <c r="Y3" s="2">
        <v>4</v>
      </c>
      <c r="Z3" s="2">
        <v>5</v>
      </c>
      <c r="AA3" s="2">
        <v>6</v>
      </c>
      <c r="AB3" s="4">
        <v>7</v>
      </c>
      <c r="AC3" s="5">
        <v>1</v>
      </c>
      <c r="AD3" s="2">
        <v>2</v>
      </c>
      <c r="AE3" s="2">
        <v>3</v>
      </c>
      <c r="AF3" s="2">
        <v>4</v>
      </c>
      <c r="AG3" s="2">
        <v>5</v>
      </c>
      <c r="AH3" s="2">
        <v>6</v>
      </c>
      <c r="AI3" s="4">
        <v>7</v>
      </c>
    </row>
    <row r="4" spans="1:35" ht="30" customHeight="1" x14ac:dyDescent="0.4">
      <c r="A4" s="118" t="s">
        <v>473</v>
      </c>
      <c r="B4" s="11" t="s">
        <v>295</v>
      </c>
      <c r="C4" s="8" t="s">
        <v>296</v>
      </c>
      <c r="D4" s="8" t="s">
        <v>297</v>
      </c>
      <c r="E4" s="8" t="s">
        <v>298</v>
      </c>
      <c r="F4" s="8" t="s">
        <v>299</v>
      </c>
      <c r="G4" s="9" t="s">
        <v>300</v>
      </c>
      <c r="H4" s="7" t="s">
        <v>301</v>
      </c>
      <c r="I4" s="8" t="s">
        <v>302</v>
      </c>
      <c r="J4" s="8" t="s">
        <v>303</v>
      </c>
      <c r="K4" s="8" t="s">
        <v>304</v>
      </c>
      <c r="L4" s="8" t="s">
        <v>305</v>
      </c>
      <c r="M4" s="8" t="s">
        <v>305</v>
      </c>
      <c r="N4" s="9" t="s">
        <v>306</v>
      </c>
      <c r="O4" s="7" t="s">
        <v>307</v>
      </c>
      <c r="P4" s="8" t="s">
        <v>308</v>
      </c>
      <c r="Q4" s="8" t="s">
        <v>309</v>
      </c>
      <c r="R4" s="8" t="s">
        <v>310</v>
      </c>
      <c r="S4" s="8" t="s">
        <v>300</v>
      </c>
      <c r="T4" s="8" t="s">
        <v>311</v>
      </c>
      <c r="U4" s="9" t="s">
        <v>311</v>
      </c>
      <c r="V4" s="7" t="s">
        <v>312</v>
      </c>
      <c r="W4" s="8" t="s">
        <v>313</v>
      </c>
      <c r="X4" s="8" t="s">
        <v>307</v>
      </c>
      <c r="Y4" s="8" t="s">
        <v>309</v>
      </c>
      <c r="Z4" s="8" t="s">
        <v>314</v>
      </c>
      <c r="AA4" s="8" t="s">
        <v>315</v>
      </c>
      <c r="AB4" s="10" t="s">
        <v>316</v>
      </c>
      <c r="AC4" s="11" t="s">
        <v>315</v>
      </c>
      <c r="AD4" s="8" t="s">
        <v>298</v>
      </c>
      <c r="AE4" s="8" t="s">
        <v>317</v>
      </c>
      <c r="AF4" s="8" t="s">
        <v>318</v>
      </c>
      <c r="AG4" s="8" t="s">
        <v>295</v>
      </c>
      <c r="AH4" s="8" t="s">
        <v>299</v>
      </c>
      <c r="AI4" s="10" t="s">
        <v>308</v>
      </c>
    </row>
    <row r="5" spans="1:35" ht="30" customHeight="1" x14ac:dyDescent="0.4">
      <c r="A5" s="119" t="s">
        <v>474</v>
      </c>
      <c r="B5" s="17" t="s">
        <v>300</v>
      </c>
      <c r="C5" s="14" t="s">
        <v>318</v>
      </c>
      <c r="D5" s="14" t="s">
        <v>314</v>
      </c>
      <c r="E5" s="14" t="s">
        <v>303</v>
      </c>
      <c r="F5" s="14" t="s">
        <v>307</v>
      </c>
      <c r="G5" s="15" t="s">
        <v>309</v>
      </c>
      <c r="H5" s="13" t="s">
        <v>298</v>
      </c>
      <c r="I5" s="14" t="s">
        <v>309</v>
      </c>
      <c r="J5" s="14" t="s">
        <v>295</v>
      </c>
      <c r="K5" s="14" t="s">
        <v>315</v>
      </c>
      <c r="L5" s="14" t="s">
        <v>310</v>
      </c>
      <c r="M5" s="14" t="s">
        <v>299</v>
      </c>
      <c r="N5" s="15" t="s">
        <v>308</v>
      </c>
      <c r="O5" s="13" t="s">
        <v>299</v>
      </c>
      <c r="P5" s="14" t="s">
        <v>298</v>
      </c>
      <c r="Q5" s="14" t="s">
        <v>313</v>
      </c>
      <c r="R5" s="14" t="s">
        <v>317</v>
      </c>
      <c r="S5" s="14" t="s">
        <v>307</v>
      </c>
      <c r="T5" s="14" t="s">
        <v>311</v>
      </c>
      <c r="U5" s="15" t="s">
        <v>311</v>
      </c>
      <c r="V5" s="13" t="s">
        <v>304</v>
      </c>
      <c r="W5" s="14" t="s">
        <v>296</v>
      </c>
      <c r="X5" s="14" t="s">
        <v>297</v>
      </c>
      <c r="Y5" s="14" t="s">
        <v>302</v>
      </c>
      <c r="Z5" s="14" t="s">
        <v>300</v>
      </c>
      <c r="AA5" s="14" t="s">
        <v>305</v>
      </c>
      <c r="AB5" s="16" t="s">
        <v>305</v>
      </c>
      <c r="AC5" s="17" t="s">
        <v>308</v>
      </c>
      <c r="AD5" s="14" t="s">
        <v>312</v>
      </c>
      <c r="AE5" s="14" t="s">
        <v>295</v>
      </c>
      <c r="AF5" s="14" t="s">
        <v>301</v>
      </c>
      <c r="AG5" s="14" t="s">
        <v>316</v>
      </c>
      <c r="AH5" s="14" t="s">
        <v>315</v>
      </c>
      <c r="AI5" s="16" t="s">
        <v>306</v>
      </c>
    </row>
    <row r="6" spans="1:35" ht="30" customHeight="1" x14ac:dyDescent="0.4">
      <c r="A6" s="119" t="s">
        <v>475</v>
      </c>
      <c r="B6" s="17" t="s">
        <v>297</v>
      </c>
      <c r="C6" s="14" t="s">
        <v>312</v>
      </c>
      <c r="D6" s="14" t="s">
        <v>305</v>
      </c>
      <c r="E6" s="14" t="s">
        <v>305</v>
      </c>
      <c r="F6" s="14" t="s">
        <v>315</v>
      </c>
      <c r="G6" s="15" t="s">
        <v>296</v>
      </c>
      <c r="H6" s="13" t="s">
        <v>304</v>
      </c>
      <c r="I6" s="14" t="s">
        <v>307</v>
      </c>
      <c r="J6" s="14" t="s">
        <v>306</v>
      </c>
      <c r="K6" s="14" t="s">
        <v>318</v>
      </c>
      <c r="L6" s="14" t="s">
        <v>302</v>
      </c>
      <c r="M6" s="14" t="s">
        <v>315</v>
      </c>
      <c r="N6" s="15" t="s">
        <v>298</v>
      </c>
      <c r="O6" s="13" t="s">
        <v>314</v>
      </c>
      <c r="P6" s="14" t="s">
        <v>295</v>
      </c>
      <c r="Q6" s="14" t="s">
        <v>308</v>
      </c>
      <c r="R6" s="14" t="s">
        <v>301</v>
      </c>
      <c r="S6" s="14" t="s">
        <v>316</v>
      </c>
      <c r="T6" s="14" t="s">
        <v>311</v>
      </c>
      <c r="U6" s="15" t="s">
        <v>311</v>
      </c>
      <c r="V6" s="13" t="s">
        <v>299</v>
      </c>
      <c r="W6" s="14" t="s">
        <v>300</v>
      </c>
      <c r="X6" s="14" t="s">
        <v>313</v>
      </c>
      <c r="Y6" s="14" t="s">
        <v>303</v>
      </c>
      <c r="Z6" s="14" t="s">
        <v>317</v>
      </c>
      <c r="AA6" s="14" t="s">
        <v>309</v>
      </c>
      <c r="AB6" s="16" t="s">
        <v>307</v>
      </c>
      <c r="AC6" s="17" t="s">
        <v>300</v>
      </c>
      <c r="AD6" s="14" t="s">
        <v>310</v>
      </c>
      <c r="AE6" s="14" t="s">
        <v>308</v>
      </c>
      <c r="AF6" s="14" t="s">
        <v>299</v>
      </c>
      <c r="AG6" s="14" t="s">
        <v>298</v>
      </c>
      <c r="AH6" s="14" t="s">
        <v>295</v>
      </c>
      <c r="AI6" s="16" t="s">
        <v>309</v>
      </c>
    </row>
    <row r="7" spans="1:35" ht="30" customHeight="1" x14ac:dyDescent="0.4">
      <c r="A7" s="119" t="s">
        <v>476</v>
      </c>
      <c r="B7" s="17" t="s">
        <v>315</v>
      </c>
      <c r="C7" s="14" t="s">
        <v>307</v>
      </c>
      <c r="D7" s="14" t="s">
        <v>318</v>
      </c>
      <c r="E7" s="14" t="s">
        <v>314</v>
      </c>
      <c r="F7" s="14" t="s">
        <v>298</v>
      </c>
      <c r="G7" s="15" t="s">
        <v>317</v>
      </c>
      <c r="H7" s="13" t="s">
        <v>319</v>
      </c>
      <c r="I7" s="14" t="s">
        <v>299</v>
      </c>
      <c r="J7" s="14" t="s">
        <v>308</v>
      </c>
      <c r="K7" s="14" t="s">
        <v>300</v>
      </c>
      <c r="L7" s="14" t="s">
        <v>295</v>
      </c>
      <c r="M7" s="14" t="s">
        <v>309</v>
      </c>
      <c r="N7" s="15" t="s">
        <v>316</v>
      </c>
      <c r="O7" s="13" t="s">
        <v>301</v>
      </c>
      <c r="P7" s="14" t="s">
        <v>315</v>
      </c>
      <c r="Q7" s="14" t="s">
        <v>306</v>
      </c>
      <c r="R7" s="14" t="s">
        <v>313</v>
      </c>
      <c r="S7" s="14" t="s">
        <v>312</v>
      </c>
      <c r="T7" s="14" t="s">
        <v>311</v>
      </c>
      <c r="U7" s="15" t="s">
        <v>311</v>
      </c>
      <c r="V7" s="13" t="s">
        <v>308</v>
      </c>
      <c r="W7" s="14" t="s">
        <v>298</v>
      </c>
      <c r="X7" s="14" t="s">
        <v>303</v>
      </c>
      <c r="Y7" s="14" t="s">
        <v>310</v>
      </c>
      <c r="Z7" s="14" t="s">
        <v>295</v>
      </c>
      <c r="AA7" s="14" t="s">
        <v>302</v>
      </c>
      <c r="AB7" s="16" t="s">
        <v>309</v>
      </c>
      <c r="AC7" s="17" t="s">
        <v>299</v>
      </c>
      <c r="AD7" s="14" t="s">
        <v>307</v>
      </c>
      <c r="AE7" s="14" t="s">
        <v>305</v>
      </c>
      <c r="AF7" s="14" t="s">
        <v>305</v>
      </c>
      <c r="AG7" s="14" t="s">
        <v>300</v>
      </c>
      <c r="AH7" s="14" t="s">
        <v>296</v>
      </c>
      <c r="AI7" s="16" t="s">
        <v>297</v>
      </c>
    </row>
    <row r="8" spans="1:35" ht="30" customHeight="1" x14ac:dyDescent="0.4">
      <c r="A8" s="119" t="s">
        <v>477</v>
      </c>
      <c r="B8" s="17" t="s">
        <v>319</v>
      </c>
      <c r="C8" s="14" t="s">
        <v>295</v>
      </c>
      <c r="D8" s="14" t="s">
        <v>316</v>
      </c>
      <c r="E8" s="14" t="s">
        <v>308</v>
      </c>
      <c r="F8" s="14" t="s">
        <v>300</v>
      </c>
      <c r="G8" s="15" t="s">
        <v>299</v>
      </c>
      <c r="H8" s="13" t="s">
        <v>307</v>
      </c>
      <c r="I8" s="14" t="s">
        <v>314</v>
      </c>
      <c r="J8" s="14" t="s">
        <v>298</v>
      </c>
      <c r="K8" s="14" t="s">
        <v>309</v>
      </c>
      <c r="L8" s="14" t="s">
        <v>317</v>
      </c>
      <c r="M8" s="14" t="s">
        <v>300</v>
      </c>
      <c r="N8" s="15" t="s">
        <v>296</v>
      </c>
      <c r="O8" s="13" t="s">
        <v>306</v>
      </c>
      <c r="P8" s="14" t="s">
        <v>303</v>
      </c>
      <c r="Q8" s="14" t="s">
        <v>315</v>
      </c>
      <c r="R8" s="14" t="s">
        <v>298</v>
      </c>
      <c r="S8" s="14" t="s">
        <v>302</v>
      </c>
      <c r="T8" s="14" t="s">
        <v>311</v>
      </c>
      <c r="U8" s="15" t="s">
        <v>311</v>
      </c>
      <c r="V8" s="13" t="s">
        <v>305</v>
      </c>
      <c r="W8" s="14" t="s">
        <v>305</v>
      </c>
      <c r="X8" s="14" t="s">
        <v>295</v>
      </c>
      <c r="Y8" s="14" t="s">
        <v>299</v>
      </c>
      <c r="Z8" s="14" t="s">
        <v>313</v>
      </c>
      <c r="AA8" s="14" t="s">
        <v>301</v>
      </c>
      <c r="AB8" s="16" t="s">
        <v>310</v>
      </c>
      <c r="AC8" s="17" t="s">
        <v>297</v>
      </c>
      <c r="AD8" s="14" t="s">
        <v>320</v>
      </c>
      <c r="AE8" s="14" t="s">
        <v>318</v>
      </c>
      <c r="AF8" s="14" t="s">
        <v>309</v>
      </c>
      <c r="AG8" s="14" t="s">
        <v>307</v>
      </c>
      <c r="AH8" s="14" t="s">
        <v>312</v>
      </c>
      <c r="AI8" s="16" t="s">
        <v>315</v>
      </c>
    </row>
    <row r="9" spans="1:35" ht="30" customHeight="1" x14ac:dyDescent="0.4">
      <c r="A9" s="119" t="s">
        <v>478</v>
      </c>
      <c r="B9" s="17" t="s">
        <v>298</v>
      </c>
      <c r="C9" s="14" t="s">
        <v>299</v>
      </c>
      <c r="D9" s="14" t="s">
        <v>296</v>
      </c>
      <c r="E9" s="14" t="s">
        <v>307</v>
      </c>
      <c r="F9" s="14" t="s">
        <v>317</v>
      </c>
      <c r="G9" s="15" t="s">
        <v>315</v>
      </c>
      <c r="H9" s="13" t="s">
        <v>309</v>
      </c>
      <c r="I9" s="14" t="s">
        <v>318</v>
      </c>
      <c r="J9" s="14" t="s">
        <v>300</v>
      </c>
      <c r="K9" s="14" t="s">
        <v>303</v>
      </c>
      <c r="L9" s="14" t="s">
        <v>308</v>
      </c>
      <c r="M9" s="14" t="s">
        <v>319</v>
      </c>
      <c r="N9" s="15" t="s">
        <v>295</v>
      </c>
      <c r="O9" s="13" t="s">
        <v>302</v>
      </c>
      <c r="P9" s="14" t="s">
        <v>316</v>
      </c>
      <c r="Q9" s="14" t="s">
        <v>305</v>
      </c>
      <c r="R9" s="14" t="s">
        <v>305</v>
      </c>
      <c r="S9" s="14" t="s">
        <v>295</v>
      </c>
      <c r="T9" s="14" t="s">
        <v>311</v>
      </c>
      <c r="U9" s="15" t="s">
        <v>311</v>
      </c>
      <c r="V9" s="13" t="s">
        <v>298</v>
      </c>
      <c r="W9" s="14" t="s">
        <v>297</v>
      </c>
      <c r="X9" s="14" t="s">
        <v>312</v>
      </c>
      <c r="Y9" s="14" t="s">
        <v>301</v>
      </c>
      <c r="Z9" s="14" t="s">
        <v>307</v>
      </c>
      <c r="AA9" s="14" t="s">
        <v>300</v>
      </c>
      <c r="AB9" s="16" t="s">
        <v>313</v>
      </c>
      <c r="AC9" s="17" t="s">
        <v>314</v>
      </c>
      <c r="AD9" s="14" t="s">
        <v>306</v>
      </c>
      <c r="AE9" s="14" t="s">
        <v>299</v>
      </c>
      <c r="AF9" s="14" t="s">
        <v>315</v>
      </c>
      <c r="AG9" s="14" t="s">
        <v>309</v>
      </c>
      <c r="AH9" s="14" t="s">
        <v>310</v>
      </c>
      <c r="AI9" s="16" t="s">
        <v>320</v>
      </c>
    </row>
    <row r="10" spans="1:35" ht="30" customHeight="1" x14ac:dyDescent="0.4">
      <c r="A10" s="119" t="s">
        <v>479</v>
      </c>
      <c r="B10" s="17" t="s">
        <v>320</v>
      </c>
      <c r="C10" s="14" t="s">
        <v>302</v>
      </c>
      <c r="D10" s="14" t="s">
        <v>300</v>
      </c>
      <c r="E10" s="14" t="s">
        <v>318</v>
      </c>
      <c r="F10" s="14" t="s">
        <v>295</v>
      </c>
      <c r="G10" s="15" t="s">
        <v>297</v>
      </c>
      <c r="H10" s="13" t="s">
        <v>305</v>
      </c>
      <c r="I10" s="14" t="s">
        <v>305</v>
      </c>
      <c r="J10" s="14" t="s">
        <v>315</v>
      </c>
      <c r="K10" s="14" t="s">
        <v>307</v>
      </c>
      <c r="L10" s="14" t="s">
        <v>298</v>
      </c>
      <c r="M10" s="14" t="s">
        <v>301</v>
      </c>
      <c r="N10" s="15" t="s">
        <v>319</v>
      </c>
      <c r="O10" s="13" t="s">
        <v>313</v>
      </c>
      <c r="P10" s="14" t="s">
        <v>309</v>
      </c>
      <c r="Q10" s="14" t="s">
        <v>317</v>
      </c>
      <c r="R10" s="14" t="s">
        <v>299</v>
      </c>
      <c r="S10" s="14" t="s">
        <v>314</v>
      </c>
      <c r="T10" s="14" t="s">
        <v>311</v>
      </c>
      <c r="U10" s="15" t="s">
        <v>311</v>
      </c>
      <c r="V10" s="13" t="s">
        <v>309</v>
      </c>
      <c r="W10" s="14" t="s">
        <v>310</v>
      </c>
      <c r="X10" s="14" t="s">
        <v>315</v>
      </c>
      <c r="Y10" s="14" t="s">
        <v>298</v>
      </c>
      <c r="Z10" s="14" t="s">
        <v>299</v>
      </c>
      <c r="AA10" s="14" t="s">
        <v>308</v>
      </c>
      <c r="AB10" s="16" t="s">
        <v>295</v>
      </c>
      <c r="AC10" s="17" t="s">
        <v>312</v>
      </c>
      <c r="AD10" s="14" t="s">
        <v>303</v>
      </c>
      <c r="AE10" s="14" t="s">
        <v>300</v>
      </c>
      <c r="AF10" s="14" t="s">
        <v>306</v>
      </c>
      <c r="AG10" s="14" t="s">
        <v>296</v>
      </c>
      <c r="AH10" s="14" t="s">
        <v>307</v>
      </c>
      <c r="AI10" s="16" t="s">
        <v>316</v>
      </c>
    </row>
    <row r="11" spans="1:35" ht="30" customHeight="1" thickBot="1" x14ac:dyDescent="0.45">
      <c r="A11" s="120" t="s">
        <v>480</v>
      </c>
      <c r="B11" s="5" t="s">
        <v>310</v>
      </c>
      <c r="C11" s="2" t="s">
        <v>320</v>
      </c>
      <c r="D11" s="2" t="s">
        <v>309</v>
      </c>
      <c r="E11" s="2" t="s">
        <v>321</v>
      </c>
      <c r="F11" s="24" t="s">
        <v>302</v>
      </c>
      <c r="G11" s="3" t="s">
        <v>305</v>
      </c>
      <c r="H11" s="1" t="s">
        <v>315</v>
      </c>
      <c r="I11" s="2" t="s">
        <v>297</v>
      </c>
      <c r="J11" s="24" t="s">
        <v>318</v>
      </c>
      <c r="K11" s="2" t="s">
        <v>322</v>
      </c>
      <c r="L11" s="2" t="s">
        <v>306</v>
      </c>
      <c r="M11" s="2" t="s">
        <v>302</v>
      </c>
      <c r="N11" s="3" t="s">
        <v>314</v>
      </c>
      <c r="O11" s="1" t="s">
        <v>300</v>
      </c>
      <c r="P11" s="2" t="s">
        <v>299</v>
      </c>
      <c r="Q11" s="2" t="s">
        <v>321</v>
      </c>
      <c r="R11" s="2" t="s">
        <v>296</v>
      </c>
      <c r="S11" s="2" t="s">
        <v>323</v>
      </c>
      <c r="T11" s="2" t="s">
        <v>311</v>
      </c>
      <c r="U11" s="3" t="s">
        <v>311</v>
      </c>
      <c r="V11" s="1" t="s">
        <v>301</v>
      </c>
      <c r="W11" s="2" t="s">
        <v>302</v>
      </c>
      <c r="X11" s="2" t="s">
        <v>317</v>
      </c>
      <c r="Y11" s="2" t="s">
        <v>315</v>
      </c>
      <c r="Z11" s="2" t="s">
        <v>321</v>
      </c>
      <c r="AA11" s="2" t="s">
        <v>298</v>
      </c>
      <c r="AB11" s="4" t="s">
        <v>314</v>
      </c>
      <c r="AC11" s="5" t="s">
        <v>309</v>
      </c>
      <c r="AD11" s="2" t="s">
        <v>318</v>
      </c>
      <c r="AE11" s="2" t="s">
        <v>298</v>
      </c>
      <c r="AF11" s="2" t="s">
        <v>321</v>
      </c>
      <c r="AG11" s="2" t="s">
        <v>308</v>
      </c>
      <c r="AH11" s="2" t="s">
        <v>300</v>
      </c>
      <c r="AI11" s="4" t="s">
        <v>303</v>
      </c>
    </row>
    <row r="12" spans="1:35" ht="30" customHeight="1" x14ac:dyDescent="0.4">
      <c r="A12" s="117" t="s">
        <v>481</v>
      </c>
      <c r="B12" s="53" t="s">
        <v>593</v>
      </c>
      <c r="C12" s="52" t="s">
        <v>593</v>
      </c>
      <c r="D12" s="8" t="s">
        <v>325</v>
      </c>
      <c r="E12" s="8" t="s">
        <v>326</v>
      </c>
      <c r="F12" s="99" t="s">
        <v>584</v>
      </c>
      <c r="G12" s="9" t="s">
        <v>328</v>
      </c>
      <c r="H12" s="57" t="s">
        <v>584</v>
      </c>
      <c r="I12" s="8" t="s">
        <v>328</v>
      </c>
      <c r="J12" s="103" t="s">
        <v>585</v>
      </c>
      <c r="K12" s="8" t="s">
        <v>330</v>
      </c>
      <c r="L12" s="69" t="s">
        <v>586</v>
      </c>
      <c r="M12" s="8" t="s">
        <v>332</v>
      </c>
      <c r="N12" s="9" t="s">
        <v>333</v>
      </c>
      <c r="O12" s="63" t="s">
        <v>585</v>
      </c>
      <c r="P12" s="8" t="s">
        <v>335</v>
      </c>
      <c r="Q12" s="8" t="s">
        <v>332</v>
      </c>
      <c r="R12" s="8" t="s">
        <v>336</v>
      </c>
      <c r="S12" s="8" t="s">
        <v>337</v>
      </c>
      <c r="T12" s="8" t="s">
        <v>311</v>
      </c>
      <c r="U12" s="9" t="s">
        <v>311</v>
      </c>
      <c r="V12" s="7" t="s">
        <v>326</v>
      </c>
      <c r="W12" s="8" t="s">
        <v>336</v>
      </c>
      <c r="X12" s="69" t="s">
        <v>586</v>
      </c>
      <c r="Y12" s="52" t="s">
        <v>593</v>
      </c>
      <c r="Z12" s="54" t="s">
        <v>584</v>
      </c>
      <c r="AA12" s="8" t="s">
        <v>335</v>
      </c>
      <c r="AB12" s="10" t="s">
        <v>339</v>
      </c>
      <c r="AC12" s="63" t="s">
        <v>585</v>
      </c>
      <c r="AD12" s="8" t="s">
        <v>336</v>
      </c>
      <c r="AE12" s="69" t="s">
        <v>586</v>
      </c>
      <c r="AF12" s="8" t="s">
        <v>340</v>
      </c>
      <c r="AG12" s="8" t="s">
        <v>341</v>
      </c>
      <c r="AH12" s="8" t="s">
        <v>342</v>
      </c>
      <c r="AI12" s="10" t="s">
        <v>343</v>
      </c>
    </row>
    <row r="13" spans="1:35" ht="30" customHeight="1" x14ac:dyDescent="0.4">
      <c r="A13" s="115" t="s">
        <v>482</v>
      </c>
      <c r="B13" s="125" t="s">
        <v>593</v>
      </c>
      <c r="C13" s="126" t="s">
        <v>593</v>
      </c>
      <c r="D13" s="14" t="s">
        <v>336</v>
      </c>
      <c r="E13" s="14" t="s">
        <v>339</v>
      </c>
      <c r="F13" s="55" t="s">
        <v>584</v>
      </c>
      <c r="G13" s="15" t="s">
        <v>326</v>
      </c>
      <c r="H13" s="56" t="s">
        <v>584</v>
      </c>
      <c r="I13" s="14" t="s">
        <v>326</v>
      </c>
      <c r="J13" s="59" t="s">
        <v>585</v>
      </c>
      <c r="K13" s="14" t="s">
        <v>332</v>
      </c>
      <c r="L13" s="68" t="s">
        <v>586</v>
      </c>
      <c r="M13" s="14" t="s">
        <v>325</v>
      </c>
      <c r="N13" s="15" t="s">
        <v>343</v>
      </c>
      <c r="O13" s="61" t="s">
        <v>585</v>
      </c>
      <c r="P13" s="14" t="s">
        <v>336</v>
      </c>
      <c r="Q13" s="14" t="s">
        <v>328</v>
      </c>
      <c r="R13" s="14" t="s">
        <v>330</v>
      </c>
      <c r="S13" s="14" t="s">
        <v>337</v>
      </c>
      <c r="T13" s="14" t="s">
        <v>311</v>
      </c>
      <c r="U13" s="15" t="s">
        <v>311</v>
      </c>
      <c r="V13" s="13" t="s">
        <v>333</v>
      </c>
      <c r="W13" s="14" t="s">
        <v>335</v>
      </c>
      <c r="X13" s="68" t="s">
        <v>586</v>
      </c>
      <c r="Y13" s="126" t="s">
        <v>593</v>
      </c>
      <c r="Z13" s="55" t="s">
        <v>584</v>
      </c>
      <c r="AA13" s="14" t="s">
        <v>328</v>
      </c>
      <c r="AB13" s="16" t="s">
        <v>342</v>
      </c>
      <c r="AC13" s="61" t="s">
        <v>585</v>
      </c>
      <c r="AD13" s="14" t="s">
        <v>335</v>
      </c>
      <c r="AE13" s="68" t="s">
        <v>586</v>
      </c>
      <c r="AF13" s="14" t="s">
        <v>341</v>
      </c>
      <c r="AG13" s="14" t="s">
        <v>336</v>
      </c>
      <c r="AH13" s="14" t="s">
        <v>332</v>
      </c>
      <c r="AI13" s="16" t="s">
        <v>340</v>
      </c>
    </row>
    <row r="14" spans="1:35" ht="30" customHeight="1" x14ac:dyDescent="0.4">
      <c r="A14" s="117" t="s">
        <v>483</v>
      </c>
      <c r="B14" s="13" t="s">
        <v>347</v>
      </c>
      <c r="C14" s="14" t="s">
        <v>340</v>
      </c>
      <c r="D14" s="14" t="s">
        <v>612</v>
      </c>
      <c r="E14" s="14" t="s">
        <v>615</v>
      </c>
      <c r="F14" s="55" t="s">
        <v>584</v>
      </c>
      <c r="G14" s="15" t="s">
        <v>614</v>
      </c>
      <c r="H14" s="56" t="s">
        <v>584</v>
      </c>
      <c r="I14" s="14" t="s">
        <v>347</v>
      </c>
      <c r="J14" s="59" t="s">
        <v>585</v>
      </c>
      <c r="K14" s="14" t="s">
        <v>328</v>
      </c>
      <c r="L14" s="68" t="s">
        <v>586</v>
      </c>
      <c r="M14" s="14" t="s">
        <v>348</v>
      </c>
      <c r="N14" s="15" t="s">
        <v>326</v>
      </c>
      <c r="O14" s="61" t="s">
        <v>585</v>
      </c>
      <c r="P14" s="14" t="s">
        <v>339</v>
      </c>
      <c r="Q14" s="14" t="s">
        <v>330</v>
      </c>
      <c r="R14" s="14" t="s">
        <v>335</v>
      </c>
      <c r="S14" s="14" t="s">
        <v>337</v>
      </c>
      <c r="T14" s="14" t="s">
        <v>311</v>
      </c>
      <c r="U14" s="15" t="s">
        <v>311</v>
      </c>
      <c r="V14" s="13" t="s">
        <v>325</v>
      </c>
      <c r="W14" s="14" t="s">
        <v>341</v>
      </c>
      <c r="X14" s="68" t="s">
        <v>586</v>
      </c>
      <c r="Y14" s="14" t="s">
        <v>333</v>
      </c>
      <c r="Z14" s="55" t="s">
        <v>584</v>
      </c>
      <c r="AA14" s="14" t="s">
        <v>342</v>
      </c>
      <c r="AB14" s="16" t="s">
        <v>335</v>
      </c>
      <c r="AC14" s="61" t="s">
        <v>585</v>
      </c>
      <c r="AD14" s="14" t="s">
        <v>347</v>
      </c>
      <c r="AE14" s="68" t="s">
        <v>586</v>
      </c>
      <c r="AF14" s="14" t="s">
        <v>326</v>
      </c>
      <c r="AG14" s="14" t="s">
        <v>328</v>
      </c>
      <c r="AH14" s="14" t="s">
        <v>352</v>
      </c>
      <c r="AI14" s="16" t="s">
        <v>332</v>
      </c>
    </row>
    <row r="15" spans="1:35" ht="30" customHeight="1" x14ac:dyDescent="0.4">
      <c r="A15" s="115" t="s">
        <v>484</v>
      </c>
      <c r="B15" s="13" t="s">
        <v>328</v>
      </c>
      <c r="C15" s="14" t="s">
        <v>335</v>
      </c>
      <c r="D15" s="14" t="s">
        <v>333</v>
      </c>
      <c r="E15" s="14" t="s">
        <v>347</v>
      </c>
      <c r="F15" s="55" t="s">
        <v>584</v>
      </c>
      <c r="G15" s="15" t="s">
        <v>339</v>
      </c>
      <c r="H15" s="56" t="s">
        <v>584</v>
      </c>
      <c r="I15" s="14" t="s">
        <v>348</v>
      </c>
      <c r="J15" s="59" t="s">
        <v>585</v>
      </c>
      <c r="K15" s="14" t="s">
        <v>335</v>
      </c>
      <c r="L15" s="68" t="s">
        <v>586</v>
      </c>
      <c r="M15" s="14" t="s">
        <v>347</v>
      </c>
      <c r="N15" s="15" t="s">
        <v>328</v>
      </c>
      <c r="O15" s="61" t="s">
        <v>585</v>
      </c>
      <c r="P15" s="14" t="s">
        <v>330</v>
      </c>
      <c r="Q15" s="14" t="s">
        <v>342</v>
      </c>
      <c r="R15" s="14" t="s">
        <v>340</v>
      </c>
      <c r="S15" s="14" t="s">
        <v>337</v>
      </c>
      <c r="T15" s="14" t="s">
        <v>311</v>
      </c>
      <c r="U15" s="15" t="s">
        <v>311</v>
      </c>
      <c r="V15" s="13" t="s">
        <v>348</v>
      </c>
      <c r="W15" s="14" t="s">
        <v>343</v>
      </c>
      <c r="X15" s="68" t="s">
        <v>586</v>
      </c>
      <c r="Y15" s="14" t="s">
        <v>326</v>
      </c>
      <c r="Z15" s="55" t="s">
        <v>584</v>
      </c>
      <c r="AA15" s="14" t="s">
        <v>332</v>
      </c>
      <c r="AB15" s="16" t="s">
        <v>325</v>
      </c>
      <c r="AC15" s="61" t="s">
        <v>585</v>
      </c>
      <c r="AD15" s="14" t="s">
        <v>341</v>
      </c>
      <c r="AE15" s="68" t="s">
        <v>586</v>
      </c>
      <c r="AF15" s="14" t="s">
        <v>332</v>
      </c>
      <c r="AG15" s="14" t="s">
        <v>347</v>
      </c>
      <c r="AH15" s="14" t="s">
        <v>326</v>
      </c>
      <c r="AI15" s="16" t="s">
        <v>352</v>
      </c>
    </row>
    <row r="16" spans="1:35" ht="30" customHeight="1" x14ac:dyDescent="0.4">
      <c r="A16" s="117" t="s">
        <v>485</v>
      </c>
      <c r="B16" s="13" t="s">
        <v>330</v>
      </c>
      <c r="C16" s="14" t="s">
        <v>347</v>
      </c>
      <c r="D16" s="14" t="s">
        <v>615</v>
      </c>
      <c r="E16" s="14" t="s">
        <v>614</v>
      </c>
      <c r="F16" s="55" t="s">
        <v>584</v>
      </c>
      <c r="G16" s="15" t="s">
        <v>335</v>
      </c>
      <c r="H16" s="56" t="s">
        <v>584</v>
      </c>
      <c r="I16" s="14" t="s">
        <v>343</v>
      </c>
      <c r="J16" s="59" t="s">
        <v>585</v>
      </c>
      <c r="K16" s="14" t="s">
        <v>339</v>
      </c>
      <c r="L16" s="68" t="s">
        <v>586</v>
      </c>
      <c r="M16" s="14" t="s">
        <v>326</v>
      </c>
      <c r="N16" s="15" t="s">
        <v>348</v>
      </c>
      <c r="O16" s="61" t="s">
        <v>585</v>
      </c>
      <c r="P16" s="14" t="s">
        <v>325</v>
      </c>
      <c r="Q16" s="14" t="s">
        <v>333</v>
      </c>
      <c r="R16" s="14" t="s">
        <v>332</v>
      </c>
      <c r="S16" s="14" t="s">
        <v>337</v>
      </c>
      <c r="T16" s="14" t="s">
        <v>311</v>
      </c>
      <c r="U16" s="15" t="s">
        <v>311</v>
      </c>
      <c r="V16" s="13" t="s">
        <v>340</v>
      </c>
      <c r="W16" s="14" t="s">
        <v>347</v>
      </c>
      <c r="X16" s="68" t="s">
        <v>586</v>
      </c>
      <c r="Y16" s="14" t="s">
        <v>342</v>
      </c>
      <c r="Z16" s="55" t="s">
        <v>584</v>
      </c>
      <c r="AA16" s="14" t="s">
        <v>352</v>
      </c>
      <c r="AB16" s="16" t="s">
        <v>328</v>
      </c>
      <c r="AC16" s="61" t="s">
        <v>585</v>
      </c>
      <c r="AD16" s="14" t="s">
        <v>328</v>
      </c>
      <c r="AE16" s="68" t="s">
        <v>586</v>
      </c>
      <c r="AF16" s="14" t="s">
        <v>347</v>
      </c>
      <c r="AG16" s="14" t="s">
        <v>359</v>
      </c>
      <c r="AH16" s="14" t="s">
        <v>333</v>
      </c>
      <c r="AI16" s="16" t="s">
        <v>335</v>
      </c>
    </row>
    <row r="17" spans="1:35" ht="30" customHeight="1" x14ac:dyDescent="0.4">
      <c r="A17" s="115" t="s">
        <v>486</v>
      </c>
      <c r="B17" s="125" t="s">
        <v>593</v>
      </c>
      <c r="C17" s="126" t="s">
        <v>593</v>
      </c>
      <c r="D17" s="14" t="s">
        <v>613</v>
      </c>
      <c r="E17" s="14" t="s">
        <v>612</v>
      </c>
      <c r="F17" s="55" t="s">
        <v>584</v>
      </c>
      <c r="G17" s="15" t="s">
        <v>332</v>
      </c>
      <c r="H17" s="56" t="s">
        <v>584</v>
      </c>
      <c r="I17" s="14" t="s">
        <v>335</v>
      </c>
      <c r="J17" s="59" t="s">
        <v>585</v>
      </c>
      <c r="K17" s="14" t="s">
        <v>333</v>
      </c>
      <c r="L17" s="68" t="s">
        <v>586</v>
      </c>
      <c r="M17" s="14" t="s">
        <v>339</v>
      </c>
      <c r="N17" s="15" t="s">
        <v>347</v>
      </c>
      <c r="O17" s="61" t="s">
        <v>585</v>
      </c>
      <c r="P17" s="14" t="s">
        <v>347</v>
      </c>
      <c r="Q17" s="14" t="s">
        <v>359</v>
      </c>
      <c r="R17" s="14" t="s">
        <v>363</v>
      </c>
      <c r="S17" s="14" t="s">
        <v>337</v>
      </c>
      <c r="T17" s="14" t="s">
        <v>311</v>
      </c>
      <c r="U17" s="15" t="s">
        <v>311</v>
      </c>
      <c r="V17" s="13" t="s">
        <v>347</v>
      </c>
      <c r="W17" s="14" t="s">
        <v>363</v>
      </c>
      <c r="X17" s="68" t="s">
        <v>586</v>
      </c>
      <c r="Y17" s="126" t="s">
        <v>593</v>
      </c>
      <c r="Z17" s="55" t="s">
        <v>584</v>
      </c>
      <c r="AA17" s="14" t="s">
        <v>326</v>
      </c>
      <c r="AB17" s="16" t="s">
        <v>332</v>
      </c>
      <c r="AC17" s="61" t="s">
        <v>585</v>
      </c>
      <c r="AD17" s="14" t="s">
        <v>333</v>
      </c>
      <c r="AE17" s="68" t="s">
        <v>586</v>
      </c>
      <c r="AF17" s="14" t="s">
        <v>330</v>
      </c>
      <c r="AG17" s="14" t="s">
        <v>325</v>
      </c>
      <c r="AH17" s="14" t="s">
        <v>335</v>
      </c>
      <c r="AI17" s="16" t="s">
        <v>342</v>
      </c>
    </row>
    <row r="18" spans="1:35" ht="30" customHeight="1" x14ac:dyDescent="0.4">
      <c r="A18" s="117" t="s">
        <v>487</v>
      </c>
      <c r="B18" s="13" t="s">
        <v>332</v>
      </c>
      <c r="C18" s="14" t="s">
        <v>333</v>
      </c>
      <c r="D18" s="14" t="s">
        <v>330</v>
      </c>
      <c r="E18" s="14" t="s">
        <v>335</v>
      </c>
      <c r="F18" s="55" t="s">
        <v>584</v>
      </c>
      <c r="G18" s="15" t="s">
        <v>347</v>
      </c>
      <c r="H18" s="56" t="s">
        <v>584</v>
      </c>
      <c r="I18" s="14" t="s">
        <v>339</v>
      </c>
      <c r="J18" s="59" t="s">
        <v>585</v>
      </c>
      <c r="K18" s="14" t="s">
        <v>348</v>
      </c>
      <c r="L18" s="68" t="s">
        <v>586</v>
      </c>
      <c r="M18" s="14" t="s">
        <v>363</v>
      </c>
      <c r="N18" s="15" t="s">
        <v>335</v>
      </c>
      <c r="O18" s="61" t="s">
        <v>585</v>
      </c>
      <c r="P18" s="14" t="s">
        <v>326</v>
      </c>
      <c r="Q18" s="14" t="s">
        <v>325</v>
      </c>
      <c r="R18" s="14" t="s">
        <v>343</v>
      </c>
      <c r="S18" s="14" t="s">
        <v>337</v>
      </c>
      <c r="T18" s="14" t="s">
        <v>311</v>
      </c>
      <c r="U18" s="15" t="s">
        <v>311</v>
      </c>
      <c r="V18" s="13" t="s">
        <v>332</v>
      </c>
      <c r="W18" s="14" t="s">
        <v>348</v>
      </c>
      <c r="X18" s="68" t="s">
        <v>586</v>
      </c>
      <c r="Y18" s="14" t="s">
        <v>340</v>
      </c>
      <c r="Z18" s="55" t="s">
        <v>584</v>
      </c>
      <c r="AA18" s="14" t="s">
        <v>347</v>
      </c>
      <c r="AB18" s="16" t="s">
        <v>359</v>
      </c>
      <c r="AC18" s="61" t="s">
        <v>585</v>
      </c>
      <c r="AD18" s="14" t="s">
        <v>342</v>
      </c>
      <c r="AE18" s="68" t="s">
        <v>586</v>
      </c>
      <c r="AF18" s="14" t="s">
        <v>352</v>
      </c>
      <c r="AG18" s="14" t="s">
        <v>333</v>
      </c>
      <c r="AH18" s="14" t="s">
        <v>363</v>
      </c>
      <c r="AI18" s="16" t="s">
        <v>347</v>
      </c>
    </row>
    <row r="19" spans="1:35" ht="30" customHeight="1" x14ac:dyDescent="0.4">
      <c r="A19" s="115" t="s">
        <v>488</v>
      </c>
      <c r="B19" s="13" t="s">
        <v>343</v>
      </c>
      <c r="C19" s="14" t="s">
        <v>325</v>
      </c>
      <c r="D19" s="14" t="s">
        <v>366</v>
      </c>
      <c r="E19" s="14" t="s">
        <v>366</v>
      </c>
      <c r="F19" s="14" t="s">
        <v>333</v>
      </c>
      <c r="G19" s="15" t="s">
        <v>367</v>
      </c>
      <c r="H19" s="13" t="s">
        <v>363</v>
      </c>
      <c r="I19" s="14" t="s">
        <v>368</v>
      </c>
      <c r="J19" s="14" t="s">
        <v>326</v>
      </c>
      <c r="K19" s="14" t="s">
        <v>342</v>
      </c>
      <c r="L19" s="14" t="s">
        <v>325</v>
      </c>
      <c r="M19" s="14" t="s">
        <v>330</v>
      </c>
      <c r="N19" s="15" t="s">
        <v>369</v>
      </c>
      <c r="O19" s="13" t="s">
        <v>368</v>
      </c>
      <c r="P19" s="14" t="s">
        <v>333</v>
      </c>
      <c r="Q19" s="14" t="s">
        <v>368</v>
      </c>
      <c r="R19" s="14" t="s">
        <v>342</v>
      </c>
      <c r="S19" s="14" t="s">
        <v>337</v>
      </c>
      <c r="T19" s="14" t="s">
        <v>311</v>
      </c>
      <c r="U19" s="15" t="s">
        <v>311</v>
      </c>
      <c r="V19" s="13" t="s">
        <v>342</v>
      </c>
      <c r="W19" s="14" t="s">
        <v>325</v>
      </c>
      <c r="X19" s="14" t="s">
        <v>366</v>
      </c>
      <c r="Y19" s="14" t="s">
        <v>335</v>
      </c>
      <c r="Z19" s="14" t="s">
        <v>363</v>
      </c>
      <c r="AA19" s="14" t="s">
        <v>367</v>
      </c>
      <c r="AB19" s="16" t="s">
        <v>369</v>
      </c>
      <c r="AC19" s="17" t="s">
        <v>367</v>
      </c>
      <c r="AD19" s="14" t="s">
        <v>325</v>
      </c>
      <c r="AE19" s="14" t="s">
        <v>332</v>
      </c>
      <c r="AF19" s="14" t="s">
        <v>335</v>
      </c>
      <c r="AG19" s="14" t="s">
        <v>340</v>
      </c>
      <c r="AH19" s="14" t="s">
        <v>330</v>
      </c>
      <c r="AI19" s="16" t="s">
        <v>369</v>
      </c>
    </row>
    <row r="20" spans="1:35" ht="30" customHeight="1" x14ac:dyDescent="0.4">
      <c r="A20" s="115" t="s">
        <v>502</v>
      </c>
      <c r="B20" s="13" t="s">
        <v>337</v>
      </c>
      <c r="C20" s="14" t="s">
        <v>337</v>
      </c>
      <c r="D20" s="14" t="s">
        <v>337</v>
      </c>
      <c r="E20" s="14" t="s">
        <v>337</v>
      </c>
      <c r="G20" s="16" t="s">
        <v>337</v>
      </c>
      <c r="I20" s="14" t="s">
        <v>337</v>
      </c>
      <c r="J20" s="59" t="s">
        <v>585</v>
      </c>
      <c r="K20" s="14" t="s">
        <v>337</v>
      </c>
      <c r="L20" s="14" t="s">
        <v>337</v>
      </c>
      <c r="M20" s="14" t="s">
        <v>337</v>
      </c>
      <c r="N20" s="15" t="s">
        <v>337</v>
      </c>
      <c r="O20" s="61" t="s">
        <v>585</v>
      </c>
      <c r="P20" s="14" t="s">
        <v>337</v>
      </c>
      <c r="Q20" s="14" t="s">
        <v>337</v>
      </c>
      <c r="R20" s="14" t="s">
        <v>337</v>
      </c>
      <c r="S20" s="14" t="s">
        <v>337</v>
      </c>
      <c r="T20" s="14" t="s">
        <v>311</v>
      </c>
      <c r="U20" s="15" t="s">
        <v>311</v>
      </c>
      <c r="V20" s="13" t="s">
        <v>337</v>
      </c>
      <c r="W20" s="14" t="s">
        <v>337</v>
      </c>
      <c r="X20" s="14" t="s">
        <v>337</v>
      </c>
      <c r="Y20" s="14" t="s">
        <v>337</v>
      </c>
      <c r="AA20" s="14" t="s">
        <v>337</v>
      </c>
      <c r="AB20" s="16" t="s">
        <v>337</v>
      </c>
      <c r="AC20" s="61" t="s">
        <v>585</v>
      </c>
      <c r="AD20" s="14" t="s">
        <v>337</v>
      </c>
      <c r="AE20" s="14" t="s">
        <v>337</v>
      </c>
      <c r="AF20" s="14" t="s">
        <v>337</v>
      </c>
      <c r="AG20" s="14" t="s">
        <v>337</v>
      </c>
      <c r="AH20" s="14" t="s">
        <v>337</v>
      </c>
      <c r="AI20" s="16" t="s">
        <v>337</v>
      </c>
    </row>
    <row r="21" spans="1:35" ht="30" customHeight="1" x14ac:dyDescent="0.4">
      <c r="A21" s="115" t="s">
        <v>606</v>
      </c>
      <c r="B21" s="13" t="s">
        <v>337</v>
      </c>
      <c r="C21" s="14" t="s">
        <v>337</v>
      </c>
      <c r="D21" s="14" t="s">
        <v>337</v>
      </c>
      <c r="E21" s="14" t="s">
        <v>337</v>
      </c>
      <c r="F21" s="55" t="s">
        <v>584</v>
      </c>
      <c r="G21" s="15" t="s">
        <v>337</v>
      </c>
      <c r="H21" s="56" t="s">
        <v>584</v>
      </c>
      <c r="I21" s="14" t="s">
        <v>337</v>
      </c>
      <c r="J21" s="59" t="s">
        <v>585</v>
      </c>
      <c r="K21" s="14" t="s">
        <v>337</v>
      </c>
      <c r="L21" s="68" t="s">
        <v>586</v>
      </c>
      <c r="M21" s="14" t="s">
        <v>337</v>
      </c>
      <c r="N21" s="15" t="s">
        <v>337</v>
      </c>
      <c r="O21" s="61" t="s">
        <v>585</v>
      </c>
      <c r="P21" s="14" t="s">
        <v>337</v>
      </c>
      <c r="Q21" s="14" t="s">
        <v>337</v>
      </c>
      <c r="R21" s="14" t="s">
        <v>337</v>
      </c>
      <c r="S21" s="14" t="s">
        <v>337</v>
      </c>
      <c r="T21" s="14" t="s">
        <v>311</v>
      </c>
      <c r="U21" s="15" t="s">
        <v>311</v>
      </c>
      <c r="V21" s="13" t="s">
        <v>337</v>
      </c>
      <c r="W21" s="14" t="s">
        <v>337</v>
      </c>
      <c r="X21" s="68" t="s">
        <v>586</v>
      </c>
      <c r="Y21" s="14" t="s">
        <v>337</v>
      </c>
      <c r="Z21" s="55" t="s">
        <v>584</v>
      </c>
      <c r="AA21" s="14" t="s">
        <v>337</v>
      </c>
      <c r="AB21" s="16" t="s">
        <v>337</v>
      </c>
      <c r="AC21" s="61" t="s">
        <v>585</v>
      </c>
      <c r="AD21" s="14" t="s">
        <v>337</v>
      </c>
      <c r="AE21" s="68" t="s">
        <v>586</v>
      </c>
      <c r="AF21" s="14" t="s">
        <v>337</v>
      </c>
      <c r="AG21" s="14" t="s">
        <v>337</v>
      </c>
      <c r="AH21" s="14" t="s">
        <v>337</v>
      </c>
      <c r="AI21" s="16" t="s">
        <v>337</v>
      </c>
    </row>
    <row r="22" spans="1:35" ht="30" customHeight="1" thickBot="1" x14ac:dyDescent="0.45">
      <c r="A22" s="116" t="s">
        <v>607</v>
      </c>
      <c r="B22" s="23" t="s">
        <v>337</v>
      </c>
      <c r="C22" s="24" t="s">
        <v>337</v>
      </c>
      <c r="D22" s="24" t="s">
        <v>337</v>
      </c>
      <c r="E22" s="24" t="s">
        <v>337</v>
      </c>
      <c r="F22" s="123" t="s">
        <v>584</v>
      </c>
      <c r="G22" s="25" t="s">
        <v>337</v>
      </c>
      <c r="H22" s="124" t="s">
        <v>584</v>
      </c>
      <c r="I22" s="24" t="s">
        <v>337</v>
      </c>
      <c r="J22" s="24" t="s">
        <v>337</v>
      </c>
      <c r="K22" s="24" t="s">
        <v>337</v>
      </c>
      <c r="L22" s="24" t="s">
        <v>337</v>
      </c>
      <c r="M22" s="24" t="s">
        <v>337</v>
      </c>
      <c r="N22" s="25" t="s">
        <v>337</v>
      </c>
      <c r="O22" s="23" t="s">
        <v>337</v>
      </c>
      <c r="P22" s="24" t="s">
        <v>337</v>
      </c>
      <c r="Q22" s="24" t="s">
        <v>337</v>
      </c>
      <c r="R22" s="24" t="s">
        <v>337</v>
      </c>
      <c r="S22" s="24" t="s">
        <v>337</v>
      </c>
      <c r="T22" s="24" t="s">
        <v>311</v>
      </c>
      <c r="U22" s="25" t="s">
        <v>311</v>
      </c>
      <c r="V22" s="23" t="s">
        <v>337</v>
      </c>
      <c r="W22" s="24" t="s">
        <v>337</v>
      </c>
      <c r="X22" s="24" t="s">
        <v>337</v>
      </c>
      <c r="Y22" s="24" t="s">
        <v>337</v>
      </c>
      <c r="Z22" s="123" t="s">
        <v>584</v>
      </c>
      <c r="AA22" s="24" t="s">
        <v>337</v>
      </c>
      <c r="AB22" s="26" t="s">
        <v>337</v>
      </c>
      <c r="AC22" s="27" t="s">
        <v>337</v>
      </c>
      <c r="AD22" s="24" t="s">
        <v>337</v>
      </c>
      <c r="AE22" s="24" t="s">
        <v>337</v>
      </c>
      <c r="AF22" s="24" t="s">
        <v>337</v>
      </c>
      <c r="AG22" s="24" t="s">
        <v>337</v>
      </c>
      <c r="AH22" s="24" t="s">
        <v>337</v>
      </c>
      <c r="AI22" s="26" t="s">
        <v>337</v>
      </c>
    </row>
    <row r="23" spans="1:35" ht="30" customHeight="1" x14ac:dyDescent="0.4">
      <c r="A23" s="117" t="s">
        <v>494</v>
      </c>
      <c r="B23" s="121" t="s">
        <v>587</v>
      </c>
      <c r="C23" s="80" t="s">
        <v>378</v>
      </c>
      <c r="D23" s="81" t="s">
        <v>588</v>
      </c>
      <c r="E23" s="82" t="s">
        <v>589</v>
      </c>
      <c r="F23" s="80" t="s">
        <v>381</v>
      </c>
      <c r="G23" s="83" t="s">
        <v>590</v>
      </c>
      <c r="H23" s="84" t="s">
        <v>588</v>
      </c>
      <c r="I23" s="85" t="s">
        <v>590</v>
      </c>
      <c r="J23" s="80" t="s">
        <v>383</v>
      </c>
      <c r="K23" s="82" t="s">
        <v>589</v>
      </c>
      <c r="L23" s="80" t="s">
        <v>384</v>
      </c>
      <c r="M23" s="86" t="s">
        <v>591</v>
      </c>
      <c r="N23" s="87" t="s">
        <v>583</v>
      </c>
      <c r="O23" s="45" t="s">
        <v>590</v>
      </c>
      <c r="P23" s="82" t="s">
        <v>589</v>
      </c>
      <c r="Q23" s="86" t="s">
        <v>591</v>
      </c>
      <c r="R23" s="122" t="s">
        <v>587</v>
      </c>
      <c r="S23" s="80" t="s">
        <v>583</v>
      </c>
      <c r="T23" s="8" t="s">
        <v>311</v>
      </c>
      <c r="U23" s="9" t="s">
        <v>311</v>
      </c>
      <c r="V23" s="84" t="s">
        <v>588</v>
      </c>
      <c r="W23" s="85" t="s">
        <v>590</v>
      </c>
      <c r="X23" s="80" t="s">
        <v>386</v>
      </c>
      <c r="Y23" s="80" t="s">
        <v>387</v>
      </c>
      <c r="Z23" s="86" t="s">
        <v>591</v>
      </c>
      <c r="AA23" s="122" t="s">
        <v>587</v>
      </c>
      <c r="AB23" s="89" t="s">
        <v>583</v>
      </c>
      <c r="AC23" s="84" t="s">
        <v>588</v>
      </c>
      <c r="AD23" s="82" t="s">
        <v>589</v>
      </c>
      <c r="AE23" s="80" t="s">
        <v>388</v>
      </c>
      <c r="AF23" s="102" t="s">
        <v>592</v>
      </c>
      <c r="AG23" s="86" t="s">
        <v>591</v>
      </c>
      <c r="AH23" s="122" t="s">
        <v>587</v>
      </c>
      <c r="AI23" s="89" t="s">
        <v>390</v>
      </c>
    </row>
    <row r="24" spans="1:35" ht="30" customHeight="1" x14ac:dyDescent="0.4">
      <c r="A24" s="115" t="s">
        <v>495</v>
      </c>
      <c r="B24" s="121" t="s">
        <v>587</v>
      </c>
      <c r="C24" s="14" t="s">
        <v>388</v>
      </c>
      <c r="D24" s="36" t="s">
        <v>588</v>
      </c>
      <c r="E24" s="18" t="s">
        <v>589</v>
      </c>
      <c r="F24" s="14" t="s">
        <v>383</v>
      </c>
      <c r="G24" s="40" t="s">
        <v>590</v>
      </c>
      <c r="H24" s="37" t="s">
        <v>588</v>
      </c>
      <c r="I24" s="43" t="s">
        <v>590</v>
      </c>
      <c r="J24" s="14" t="s">
        <v>390</v>
      </c>
      <c r="K24" s="18" t="s">
        <v>589</v>
      </c>
      <c r="L24" s="14" t="s">
        <v>386</v>
      </c>
      <c r="M24" s="48" t="s">
        <v>591</v>
      </c>
      <c r="N24" s="87" t="s">
        <v>583</v>
      </c>
      <c r="O24" s="46" t="s">
        <v>590</v>
      </c>
      <c r="P24" s="18" t="s">
        <v>589</v>
      </c>
      <c r="Q24" s="48" t="s">
        <v>591</v>
      </c>
      <c r="R24" s="122" t="s">
        <v>587</v>
      </c>
      <c r="S24" s="80" t="s">
        <v>583</v>
      </c>
      <c r="T24" s="14" t="s">
        <v>311</v>
      </c>
      <c r="U24" s="15" t="s">
        <v>311</v>
      </c>
      <c r="V24" s="37" t="s">
        <v>588</v>
      </c>
      <c r="W24" s="43" t="s">
        <v>590</v>
      </c>
      <c r="X24" s="14" t="s">
        <v>387</v>
      </c>
      <c r="Y24" s="14" t="s">
        <v>398</v>
      </c>
      <c r="Z24" s="48" t="s">
        <v>591</v>
      </c>
      <c r="AA24" s="122" t="s">
        <v>587</v>
      </c>
      <c r="AB24" s="89" t="s">
        <v>583</v>
      </c>
      <c r="AC24" s="37" t="s">
        <v>588</v>
      </c>
      <c r="AD24" s="18" t="s">
        <v>589</v>
      </c>
      <c r="AE24" s="14" t="s">
        <v>378</v>
      </c>
      <c r="AF24" s="50" t="s">
        <v>592</v>
      </c>
      <c r="AG24" s="48" t="s">
        <v>591</v>
      </c>
      <c r="AH24" s="122" t="s">
        <v>587</v>
      </c>
      <c r="AI24" s="16" t="s">
        <v>384</v>
      </c>
    </row>
    <row r="25" spans="1:35" ht="30" customHeight="1" x14ac:dyDescent="0.4">
      <c r="A25" s="117" t="s">
        <v>496</v>
      </c>
      <c r="B25" s="121" t="s">
        <v>587</v>
      </c>
      <c r="C25" s="14" t="s">
        <v>390</v>
      </c>
      <c r="D25" s="36" t="s">
        <v>588</v>
      </c>
      <c r="E25" s="18" t="s">
        <v>589</v>
      </c>
      <c r="F25" s="14" t="s">
        <v>386</v>
      </c>
      <c r="G25" s="40" t="s">
        <v>590</v>
      </c>
      <c r="H25" s="37" t="s">
        <v>588</v>
      </c>
      <c r="I25" s="43" t="s">
        <v>590</v>
      </c>
      <c r="J25" s="14" t="s">
        <v>387</v>
      </c>
      <c r="K25" s="18" t="s">
        <v>589</v>
      </c>
      <c r="L25" s="14" t="s">
        <v>407</v>
      </c>
      <c r="M25" s="48" t="s">
        <v>591</v>
      </c>
      <c r="N25" s="87" t="s">
        <v>583</v>
      </c>
      <c r="O25" s="46" t="s">
        <v>590</v>
      </c>
      <c r="P25" s="18" t="s">
        <v>589</v>
      </c>
      <c r="Q25" s="48" t="s">
        <v>591</v>
      </c>
      <c r="R25" s="122" t="s">
        <v>587</v>
      </c>
      <c r="S25" s="80" t="s">
        <v>583</v>
      </c>
      <c r="T25" s="14" t="s">
        <v>311</v>
      </c>
      <c r="U25" s="15" t="s">
        <v>311</v>
      </c>
      <c r="V25" s="37" t="s">
        <v>588</v>
      </c>
      <c r="W25" s="43" t="s">
        <v>590</v>
      </c>
      <c r="X25" s="14" t="s">
        <v>383</v>
      </c>
      <c r="Y25" s="14" t="s">
        <v>378</v>
      </c>
      <c r="Z25" s="48" t="s">
        <v>591</v>
      </c>
      <c r="AA25" s="122" t="s">
        <v>587</v>
      </c>
      <c r="AB25" s="89" t="s">
        <v>583</v>
      </c>
      <c r="AC25" s="37" t="s">
        <v>588</v>
      </c>
      <c r="AD25" s="18" t="s">
        <v>589</v>
      </c>
      <c r="AE25" s="14" t="s">
        <v>384</v>
      </c>
      <c r="AF25" s="50" t="s">
        <v>592</v>
      </c>
      <c r="AG25" s="48" t="s">
        <v>591</v>
      </c>
      <c r="AH25" s="122" t="s">
        <v>587</v>
      </c>
      <c r="AI25" s="16" t="s">
        <v>388</v>
      </c>
    </row>
    <row r="26" spans="1:35" ht="30" customHeight="1" x14ac:dyDescent="0.4">
      <c r="A26" s="115" t="s">
        <v>497</v>
      </c>
      <c r="B26" s="121" t="s">
        <v>587</v>
      </c>
      <c r="C26" s="14" t="s">
        <v>383</v>
      </c>
      <c r="D26" s="36" t="s">
        <v>588</v>
      </c>
      <c r="E26" s="18" t="s">
        <v>589</v>
      </c>
      <c r="F26" s="14" t="s">
        <v>388</v>
      </c>
      <c r="G26" s="40" t="s">
        <v>590</v>
      </c>
      <c r="H26" s="37" t="s">
        <v>588</v>
      </c>
      <c r="I26" s="43" t="s">
        <v>590</v>
      </c>
      <c r="J26" s="14" t="s">
        <v>378</v>
      </c>
      <c r="K26" s="18" t="s">
        <v>589</v>
      </c>
      <c r="L26" s="14" t="s">
        <v>390</v>
      </c>
      <c r="M26" s="48" t="s">
        <v>591</v>
      </c>
      <c r="N26" s="87" t="s">
        <v>583</v>
      </c>
      <c r="O26" s="46" t="s">
        <v>590</v>
      </c>
      <c r="P26" s="18" t="s">
        <v>589</v>
      </c>
      <c r="Q26" s="48" t="s">
        <v>591</v>
      </c>
      <c r="R26" s="122" t="s">
        <v>587</v>
      </c>
      <c r="S26" s="80" t="s">
        <v>583</v>
      </c>
      <c r="T26" s="14" t="s">
        <v>311</v>
      </c>
      <c r="U26" s="15" t="s">
        <v>311</v>
      </c>
      <c r="V26" s="37" t="s">
        <v>588</v>
      </c>
      <c r="W26" s="43" t="s">
        <v>590</v>
      </c>
      <c r="X26" s="14" t="s">
        <v>384</v>
      </c>
      <c r="Y26" s="14" t="s">
        <v>416</v>
      </c>
      <c r="Z26" s="48" t="s">
        <v>591</v>
      </c>
      <c r="AA26" s="122" t="s">
        <v>587</v>
      </c>
      <c r="AB26" s="89" t="s">
        <v>583</v>
      </c>
      <c r="AC26" s="37" t="s">
        <v>588</v>
      </c>
      <c r="AD26" s="18" t="s">
        <v>589</v>
      </c>
      <c r="AE26" s="14" t="s">
        <v>386</v>
      </c>
      <c r="AF26" s="50" t="s">
        <v>592</v>
      </c>
      <c r="AG26" s="48" t="s">
        <v>591</v>
      </c>
      <c r="AH26" s="122" t="s">
        <v>587</v>
      </c>
      <c r="AI26" s="16" t="s">
        <v>407</v>
      </c>
    </row>
    <row r="27" spans="1:35" ht="30" customHeight="1" x14ac:dyDescent="0.4">
      <c r="A27" s="117" t="s">
        <v>498</v>
      </c>
      <c r="B27" s="121" t="s">
        <v>587</v>
      </c>
      <c r="C27" s="14" t="s">
        <v>384</v>
      </c>
      <c r="D27" s="36" t="s">
        <v>588</v>
      </c>
      <c r="E27" s="18" t="s">
        <v>589</v>
      </c>
      <c r="F27" s="14" t="s">
        <v>390</v>
      </c>
      <c r="G27" s="40" t="s">
        <v>590</v>
      </c>
      <c r="H27" s="37" t="s">
        <v>588</v>
      </c>
      <c r="I27" s="43" t="s">
        <v>590</v>
      </c>
      <c r="J27" s="14" t="s">
        <v>388</v>
      </c>
      <c r="K27" s="18" t="s">
        <v>589</v>
      </c>
      <c r="L27" s="14" t="s">
        <v>423</v>
      </c>
      <c r="M27" s="48" t="s">
        <v>591</v>
      </c>
      <c r="N27" s="87" t="s">
        <v>583</v>
      </c>
      <c r="O27" s="46" t="s">
        <v>590</v>
      </c>
      <c r="P27" s="18" t="s">
        <v>589</v>
      </c>
      <c r="Q27" s="48" t="s">
        <v>591</v>
      </c>
      <c r="R27" s="122" t="s">
        <v>587</v>
      </c>
      <c r="S27" s="80" t="s">
        <v>583</v>
      </c>
      <c r="T27" s="14" t="s">
        <v>311</v>
      </c>
      <c r="U27" s="15" t="s">
        <v>311</v>
      </c>
      <c r="V27" s="37" t="s">
        <v>588</v>
      </c>
      <c r="W27" s="43" t="s">
        <v>590</v>
      </c>
      <c r="X27" s="14" t="s">
        <v>427</v>
      </c>
      <c r="Y27" s="14" t="s">
        <v>428</v>
      </c>
      <c r="Z27" s="48" t="s">
        <v>591</v>
      </c>
      <c r="AA27" s="122" t="s">
        <v>587</v>
      </c>
      <c r="AB27" s="89" t="s">
        <v>583</v>
      </c>
      <c r="AC27" s="37" t="s">
        <v>588</v>
      </c>
      <c r="AD27" s="18" t="s">
        <v>589</v>
      </c>
      <c r="AE27" s="14" t="s">
        <v>430</v>
      </c>
      <c r="AF27" s="50" t="s">
        <v>592</v>
      </c>
      <c r="AG27" s="48" t="s">
        <v>591</v>
      </c>
      <c r="AH27" s="122" t="s">
        <v>587</v>
      </c>
      <c r="AI27" s="16" t="s">
        <v>416</v>
      </c>
    </row>
    <row r="28" spans="1:35" ht="30" customHeight="1" x14ac:dyDescent="0.4">
      <c r="A28" s="115" t="s">
        <v>499</v>
      </c>
      <c r="B28" s="121" t="s">
        <v>587</v>
      </c>
      <c r="C28" s="14" t="s">
        <v>430</v>
      </c>
      <c r="D28" s="36" t="s">
        <v>588</v>
      </c>
      <c r="E28" s="18" t="s">
        <v>589</v>
      </c>
      <c r="F28" s="14" t="s">
        <v>427</v>
      </c>
      <c r="G28" s="40" t="s">
        <v>590</v>
      </c>
      <c r="H28" s="37" t="s">
        <v>588</v>
      </c>
      <c r="I28" s="43" t="s">
        <v>590</v>
      </c>
      <c r="J28" s="14" t="s">
        <v>384</v>
      </c>
      <c r="K28" s="18" t="s">
        <v>589</v>
      </c>
      <c r="L28" s="14" t="s">
        <v>428</v>
      </c>
      <c r="M28" s="48" t="s">
        <v>591</v>
      </c>
      <c r="N28" s="87" t="s">
        <v>583</v>
      </c>
      <c r="O28" s="46" t="s">
        <v>590</v>
      </c>
      <c r="P28" s="18" t="s">
        <v>589</v>
      </c>
      <c r="Q28" s="48" t="s">
        <v>591</v>
      </c>
      <c r="R28" s="122" t="s">
        <v>587</v>
      </c>
      <c r="S28" s="80" t="s">
        <v>583</v>
      </c>
      <c r="T28" s="14" t="s">
        <v>311</v>
      </c>
      <c r="U28" s="15" t="s">
        <v>311</v>
      </c>
      <c r="V28" s="37" t="s">
        <v>588</v>
      </c>
      <c r="W28" s="43" t="s">
        <v>590</v>
      </c>
      <c r="X28" s="14" t="s">
        <v>390</v>
      </c>
      <c r="Y28" s="14" t="s">
        <v>388</v>
      </c>
      <c r="Z28" s="48" t="s">
        <v>591</v>
      </c>
      <c r="AA28" s="122" t="s">
        <v>587</v>
      </c>
      <c r="AB28" s="89" t="s">
        <v>583</v>
      </c>
      <c r="AC28" s="37" t="s">
        <v>588</v>
      </c>
      <c r="AD28" s="18" t="s">
        <v>589</v>
      </c>
      <c r="AE28" s="14" t="s">
        <v>416</v>
      </c>
      <c r="AF28" s="50" t="s">
        <v>592</v>
      </c>
      <c r="AG28" s="48" t="s">
        <v>591</v>
      </c>
      <c r="AH28" s="122" t="s">
        <v>587</v>
      </c>
      <c r="AI28" s="16" t="s">
        <v>439</v>
      </c>
    </row>
    <row r="29" spans="1:35" ht="30" customHeight="1" x14ac:dyDescent="0.4">
      <c r="A29" s="117" t="s">
        <v>500</v>
      </c>
      <c r="B29" s="121" t="s">
        <v>587</v>
      </c>
      <c r="C29" s="14" t="s">
        <v>428</v>
      </c>
      <c r="D29" s="36" t="s">
        <v>588</v>
      </c>
      <c r="E29" s="18" t="s">
        <v>589</v>
      </c>
      <c r="F29" s="14" t="s">
        <v>384</v>
      </c>
      <c r="G29" s="40" t="s">
        <v>590</v>
      </c>
      <c r="H29" s="37" t="s">
        <v>588</v>
      </c>
      <c r="I29" s="43" t="s">
        <v>590</v>
      </c>
      <c r="J29" s="14" t="s">
        <v>439</v>
      </c>
      <c r="K29" s="18" t="s">
        <v>589</v>
      </c>
      <c r="L29" s="14" t="s">
        <v>388</v>
      </c>
      <c r="M29" s="48" t="s">
        <v>591</v>
      </c>
      <c r="N29" s="87" t="s">
        <v>583</v>
      </c>
      <c r="O29" s="46" t="s">
        <v>590</v>
      </c>
      <c r="P29" s="18" t="s">
        <v>589</v>
      </c>
      <c r="Q29" s="48" t="s">
        <v>591</v>
      </c>
      <c r="R29" s="122" t="s">
        <v>587</v>
      </c>
      <c r="S29" s="80" t="s">
        <v>583</v>
      </c>
      <c r="T29" s="14" t="s">
        <v>311</v>
      </c>
      <c r="U29" s="15" t="s">
        <v>311</v>
      </c>
      <c r="V29" s="37" t="s">
        <v>588</v>
      </c>
      <c r="W29" s="43" t="s">
        <v>590</v>
      </c>
      <c r="X29" s="14" t="s">
        <v>416</v>
      </c>
      <c r="Y29" s="14" t="s">
        <v>446</v>
      </c>
      <c r="Z29" s="48" t="s">
        <v>591</v>
      </c>
      <c r="AA29" s="122" t="s">
        <v>587</v>
      </c>
      <c r="AB29" s="89" t="s">
        <v>583</v>
      </c>
      <c r="AC29" s="37" t="s">
        <v>588</v>
      </c>
      <c r="AD29" s="18" t="s">
        <v>589</v>
      </c>
      <c r="AE29" s="14" t="s">
        <v>447</v>
      </c>
      <c r="AF29" s="50" t="s">
        <v>592</v>
      </c>
      <c r="AG29" s="48" t="s">
        <v>591</v>
      </c>
      <c r="AH29" s="122" t="s">
        <v>587</v>
      </c>
      <c r="AI29" s="16" t="s">
        <v>430</v>
      </c>
    </row>
    <row r="30" spans="1:35" ht="30" customHeight="1" x14ac:dyDescent="0.4">
      <c r="A30" s="115" t="s">
        <v>501</v>
      </c>
      <c r="B30" s="13" t="s">
        <v>449</v>
      </c>
      <c r="C30" s="14" t="s">
        <v>450</v>
      </c>
      <c r="D30" s="14" t="s">
        <v>446</v>
      </c>
      <c r="E30" s="14" t="s">
        <v>450</v>
      </c>
      <c r="F30" s="14" t="s">
        <v>451</v>
      </c>
      <c r="G30" s="15" t="s">
        <v>452</v>
      </c>
      <c r="H30" s="13" t="s">
        <v>381</v>
      </c>
      <c r="I30" s="14" t="s">
        <v>451</v>
      </c>
      <c r="J30" s="14" t="s">
        <v>453</v>
      </c>
      <c r="K30" s="14" t="s">
        <v>450</v>
      </c>
      <c r="L30" s="14" t="s">
        <v>449</v>
      </c>
      <c r="M30" s="14" t="s">
        <v>451</v>
      </c>
      <c r="N30" s="15" t="s">
        <v>337</v>
      </c>
      <c r="O30" s="13" t="s">
        <v>452</v>
      </c>
      <c r="P30" s="14" t="s">
        <v>447</v>
      </c>
      <c r="Q30" s="14" t="s">
        <v>451</v>
      </c>
      <c r="R30" s="14" t="s">
        <v>450</v>
      </c>
      <c r="S30" s="14" t="s">
        <v>453</v>
      </c>
      <c r="T30" s="14" t="s">
        <v>311</v>
      </c>
      <c r="U30" s="15" t="s">
        <v>311</v>
      </c>
      <c r="V30" s="13" t="s">
        <v>452</v>
      </c>
      <c r="W30" s="14" t="s">
        <v>453</v>
      </c>
      <c r="X30" s="14" t="s">
        <v>428</v>
      </c>
      <c r="Y30" s="14" t="s">
        <v>430</v>
      </c>
      <c r="Z30" s="14" t="s">
        <v>449</v>
      </c>
      <c r="AA30" s="14" t="s">
        <v>388</v>
      </c>
      <c r="AB30" s="16" t="s">
        <v>337</v>
      </c>
      <c r="AC30" s="17" t="s">
        <v>384</v>
      </c>
      <c r="AD30" s="14" t="s">
        <v>388</v>
      </c>
      <c r="AE30" s="14" t="s">
        <v>428</v>
      </c>
      <c r="AF30" s="50" t="s">
        <v>592</v>
      </c>
      <c r="AG30" s="14" t="s">
        <v>453</v>
      </c>
      <c r="AH30" s="14" t="s">
        <v>452</v>
      </c>
      <c r="AI30" s="16" t="s">
        <v>449</v>
      </c>
    </row>
    <row r="31" spans="1:35" ht="30" customHeight="1" x14ac:dyDescent="0.4">
      <c r="A31" s="115" t="s">
        <v>601</v>
      </c>
      <c r="B31" s="32" t="s">
        <v>587</v>
      </c>
      <c r="C31" s="14" t="s">
        <v>337</v>
      </c>
      <c r="D31" s="36" t="s">
        <v>588</v>
      </c>
      <c r="E31" s="18" t="s">
        <v>589</v>
      </c>
      <c r="F31" s="14" t="s">
        <v>337</v>
      </c>
      <c r="G31" s="40" t="s">
        <v>590</v>
      </c>
      <c r="H31" s="37" t="s">
        <v>588</v>
      </c>
      <c r="I31" s="43" t="s">
        <v>590</v>
      </c>
      <c r="J31" s="14" t="s">
        <v>337</v>
      </c>
      <c r="K31" s="18" t="s">
        <v>589</v>
      </c>
      <c r="L31" s="14" t="s">
        <v>337</v>
      </c>
      <c r="M31" s="48" t="s">
        <v>591</v>
      </c>
      <c r="N31" s="15" t="s">
        <v>337</v>
      </c>
      <c r="O31" s="46" t="s">
        <v>590</v>
      </c>
      <c r="P31" s="18" t="s">
        <v>589</v>
      </c>
      <c r="Q31" s="48" t="s">
        <v>591</v>
      </c>
      <c r="R31" s="34" t="s">
        <v>587</v>
      </c>
      <c r="S31" s="14" t="s">
        <v>337</v>
      </c>
      <c r="T31" s="14" t="s">
        <v>311</v>
      </c>
      <c r="U31" s="15" t="s">
        <v>311</v>
      </c>
      <c r="V31" s="37" t="s">
        <v>588</v>
      </c>
      <c r="W31" s="43" t="s">
        <v>590</v>
      </c>
      <c r="X31" s="14" t="s">
        <v>337</v>
      </c>
      <c r="Y31" s="14" t="s">
        <v>337</v>
      </c>
      <c r="Z31" s="48" t="s">
        <v>591</v>
      </c>
      <c r="AA31" s="34" t="s">
        <v>587</v>
      </c>
      <c r="AB31" s="16" t="s">
        <v>337</v>
      </c>
      <c r="AC31" s="37" t="s">
        <v>588</v>
      </c>
      <c r="AD31" s="18" t="s">
        <v>589</v>
      </c>
      <c r="AE31" s="14" t="s">
        <v>337</v>
      </c>
      <c r="AF31" s="50" t="s">
        <v>592</v>
      </c>
      <c r="AG31" s="48" t="s">
        <v>591</v>
      </c>
      <c r="AH31" s="34" t="s">
        <v>587</v>
      </c>
      <c r="AI31" s="16" t="s">
        <v>337</v>
      </c>
    </row>
    <row r="32" spans="1:35" ht="30" customHeight="1" x14ac:dyDescent="0.4">
      <c r="A32" s="115" t="s">
        <v>602</v>
      </c>
      <c r="B32" s="32" t="s">
        <v>587</v>
      </c>
      <c r="C32" s="14" t="s">
        <v>337</v>
      </c>
      <c r="D32" s="36" t="s">
        <v>588</v>
      </c>
      <c r="E32" s="18" t="s">
        <v>589</v>
      </c>
      <c r="F32" s="14" t="s">
        <v>337</v>
      </c>
      <c r="G32" s="40" t="s">
        <v>590</v>
      </c>
      <c r="H32" s="37" t="s">
        <v>588</v>
      </c>
      <c r="I32" s="43" t="s">
        <v>590</v>
      </c>
      <c r="J32" s="14" t="s">
        <v>337</v>
      </c>
      <c r="K32" s="18" t="s">
        <v>589</v>
      </c>
      <c r="L32" s="14" t="s">
        <v>337</v>
      </c>
      <c r="M32" s="48" t="s">
        <v>591</v>
      </c>
      <c r="N32" s="15" t="s">
        <v>337</v>
      </c>
      <c r="O32" s="46" t="s">
        <v>590</v>
      </c>
      <c r="P32" s="18" t="s">
        <v>589</v>
      </c>
      <c r="Q32" s="48" t="s">
        <v>591</v>
      </c>
      <c r="R32" s="34" t="s">
        <v>587</v>
      </c>
      <c r="S32" s="14" t="s">
        <v>337</v>
      </c>
      <c r="T32" s="14" t="s">
        <v>311</v>
      </c>
      <c r="U32" s="15" t="s">
        <v>311</v>
      </c>
      <c r="V32" s="37" t="s">
        <v>588</v>
      </c>
      <c r="W32" s="43" t="s">
        <v>590</v>
      </c>
      <c r="X32" s="14" t="s">
        <v>337</v>
      </c>
      <c r="Y32" s="14" t="s">
        <v>337</v>
      </c>
      <c r="Z32" s="48" t="s">
        <v>591</v>
      </c>
      <c r="AA32" s="34" t="s">
        <v>587</v>
      </c>
      <c r="AB32" s="16" t="s">
        <v>337</v>
      </c>
      <c r="AC32" s="37" t="s">
        <v>588</v>
      </c>
      <c r="AD32" s="18" t="s">
        <v>589</v>
      </c>
      <c r="AE32" s="14" t="s">
        <v>337</v>
      </c>
      <c r="AF32" s="50" t="s">
        <v>592</v>
      </c>
      <c r="AG32" s="48" t="s">
        <v>591</v>
      </c>
      <c r="AH32" s="34" t="s">
        <v>587</v>
      </c>
      <c r="AI32" s="16" t="s">
        <v>337</v>
      </c>
    </row>
    <row r="33" spans="1:35" ht="30" customHeight="1" thickBot="1" x14ac:dyDescent="0.45">
      <c r="A33" s="116" t="s">
        <v>603</v>
      </c>
      <c r="B33" s="92" t="s">
        <v>587</v>
      </c>
      <c r="C33" s="24" t="s">
        <v>337</v>
      </c>
      <c r="D33" s="24" t="s">
        <v>337</v>
      </c>
      <c r="E33" s="94" t="s">
        <v>589</v>
      </c>
      <c r="F33" s="24" t="s">
        <v>337</v>
      </c>
      <c r="G33" s="25" t="s">
        <v>337</v>
      </c>
      <c r="H33" s="23" t="s">
        <v>337</v>
      </c>
      <c r="I33" s="24" t="s">
        <v>337</v>
      </c>
      <c r="J33" s="24" t="s">
        <v>337</v>
      </c>
      <c r="K33" s="94" t="s">
        <v>589</v>
      </c>
      <c r="L33" s="24" t="s">
        <v>337</v>
      </c>
      <c r="M33" s="24" t="s">
        <v>337</v>
      </c>
      <c r="N33" s="25" t="s">
        <v>337</v>
      </c>
      <c r="O33" s="23" t="s">
        <v>337</v>
      </c>
      <c r="P33" s="94" t="s">
        <v>589</v>
      </c>
      <c r="Q33" s="24" t="s">
        <v>337</v>
      </c>
      <c r="R33" s="97" t="s">
        <v>587</v>
      </c>
      <c r="S33" s="24" t="s">
        <v>337</v>
      </c>
      <c r="T33" s="24" t="s">
        <v>311</v>
      </c>
      <c r="U33" s="25" t="s">
        <v>311</v>
      </c>
      <c r="V33" s="23" t="s">
        <v>337</v>
      </c>
      <c r="W33" s="24" t="s">
        <v>337</v>
      </c>
      <c r="X33" s="24" t="s">
        <v>337</v>
      </c>
      <c r="Y33" s="24" t="s">
        <v>337</v>
      </c>
      <c r="Z33" s="24" t="s">
        <v>337</v>
      </c>
      <c r="AA33" s="97" t="s">
        <v>587</v>
      </c>
      <c r="AB33" s="26" t="s">
        <v>337</v>
      </c>
      <c r="AC33" s="27" t="s">
        <v>337</v>
      </c>
      <c r="AD33" s="94" t="s">
        <v>589</v>
      </c>
      <c r="AE33" s="24" t="s">
        <v>337</v>
      </c>
      <c r="AF33" s="110" t="s">
        <v>592</v>
      </c>
      <c r="AG33" s="24" t="s">
        <v>337</v>
      </c>
      <c r="AH33" s="97" t="s">
        <v>587</v>
      </c>
      <c r="AI33" s="26" t="s">
        <v>337</v>
      </c>
    </row>
  </sheetData>
  <mergeCells count="7">
    <mergeCell ref="A1:AI1"/>
    <mergeCell ref="A2:A3"/>
    <mergeCell ref="B2:G2"/>
    <mergeCell ref="H2:N2"/>
    <mergeCell ref="O2:U2"/>
    <mergeCell ref="V2:AB2"/>
    <mergeCell ref="AC2:AI2"/>
  </mergeCells>
  <phoneticPr fontId="3" type="noConversion"/>
  <pageMargins left="0.7" right="0.7" top="0.75" bottom="0.75" header="0.3" footer="0.3"/>
  <pageSetup paperSize="9" scale="2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70C58-5DE4-4EEE-AAD2-BF5A23D4B661}">
  <sheetPr>
    <pageSetUpPr fitToPage="1"/>
  </sheetPr>
  <dimension ref="B1:G11"/>
  <sheetViews>
    <sheetView zoomScaleNormal="100" workbookViewId="0">
      <selection activeCell="F3" sqref="F3:G3"/>
    </sheetView>
  </sheetViews>
  <sheetFormatPr defaultRowHeight="17.399999999999999" x14ac:dyDescent="0.4"/>
  <cols>
    <col min="2" max="2" width="12.19921875" customWidth="1"/>
    <col min="3" max="7" width="13.19921875" customWidth="1"/>
  </cols>
  <sheetData>
    <row r="1" spans="2:7" ht="18" thickBot="1" x14ac:dyDescent="0.45"/>
    <row r="2" spans="2:7" ht="26.4" thickBot="1" x14ac:dyDescent="0.45">
      <c r="B2" s="166" t="s">
        <v>600</v>
      </c>
      <c r="C2" s="167"/>
      <c r="D2" s="167"/>
      <c r="E2" s="167"/>
      <c r="F2" s="167"/>
      <c r="G2" s="168"/>
    </row>
    <row r="3" spans="2:7" ht="21.6" thickBot="1" x14ac:dyDescent="0.45">
      <c r="E3" s="140" t="s">
        <v>594</v>
      </c>
      <c r="F3" s="175" t="s">
        <v>493</v>
      </c>
      <c r="G3" s="175"/>
    </row>
    <row r="4" spans="2:7" ht="21.6" thickBot="1" x14ac:dyDescent="0.45">
      <c r="B4" s="141"/>
      <c r="C4" s="142" t="s">
        <v>595</v>
      </c>
      <c r="D4" s="143" t="s">
        <v>596</v>
      </c>
      <c r="E4" s="143" t="s">
        <v>597</v>
      </c>
      <c r="F4" s="143" t="s">
        <v>598</v>
      </c>
      <c r="G4" s="144" t="s">
        <v>599</v>
      </c>
    </row>
    <row r="5" spans="2:7" ht="42" customHeight="1" x14ac:dyDescent="0.4">
      <c r="B5" s="145">
        <v>1</v>
      </c>
      <c r="C5" s="146" t="str">
        <f>VLOOKUP($F$3,'전체학급시간표(학생용)'!$A$4:$AI$33,2,0)</f>
        <v>이동수업N</v>
      </c>
      <c r="D5" s="147" t="str">
        <f>VLOOKUP($F$3,'전체학급시간표(학생용)'!$A$4:$AI$33,8,0)</f>
        <v>이동수업K</v>
      </c>
      <c r="E5" s="147" t="str">
        <f>VLOOKUP($F$3,'전체학급시간표(학생용)'!$A$4:$AI$33,15,0)</f>
        <v>이동수업O</v>
      </c>
      <c r="F5" s="147" t="str">
        <f>VLOOKUP($F$3,'전체학급시간표(학생용)'!$A$4:$AI$33,22,0)</f>
        <v>이동수업K</v>
      </c>
      <c r="G5" s="148" t="str">
        <f>VLOOKUP($F$3,'전체학급시간표(학생용)'!$A$4:$AI$33,29,0)</f>
        <v>이동수업K</v>
      </c>
    </row>
    <row r="6" spans="2:7" ht="42" customHeight="1" x14ac:dyDescent="0.4">
      <c r="B6" s="149">
        <v>2</v>
      </c>
      <c r="C6" s="146" t="str">
        <f>VLOOKUP($F$3,'전체학급시간표(학생용)'!$A$4:$AI$33,3,0)</f>
        <v>공강_x000D_
가상1</v>
      </c>
      <c r="D6" s="147" t="str">
        <f>VLOOKUP($F$3,'전체학급시간표(학생용)'!$A$4:$AI$33,9,0)</f>
        <v>이동수업O</v>
      </c>
      <c r="E6" s="147" t="str">
        <f>VLOOKUP($F$3,'전체학급시간표(학생용)'!$A$4:$AI$33,16,0)</f>
        <v>이동수업L</v>
      </c>
      <c r="F6" s="147" t="str">
        <f>VLOOKUP($F$3,'전체학급시간표(학생용)'!$A$4:$AI$33,23,0)</f>
        <v>이동수업O</v>
      </c>
      <c r="G6" s="148" t="str">
        <f>VLOOKUP($F$3,'전체학급시간표(학생용)'!$A$4:$AI$33,30,0)</f>
        <v>이동수업L</v>
      </c>
    </row>
    <row r="7" spans="2:7" ht="42" customHeight="1" x14ac:dyDescent="0.4">
      <c r="B7" s="149">
        <v>3</v>
      </c>
      <c r="C7" s="146" t="str">
        <f>VLOOKUP($F$3,'전체학급시간표(학생용)'!$A$4:$AI$33,4,0)</f>
        <v>이동수업K</v>
      </c>
      <c r="D7" s="147" t="str">
        <f>VLOOKUP($F$3,'전체학급시간표(학생용)'!$A$4:$AI$33,10,0)</f>
        <v>진로_x000D_
김이진</v>
      </c>
      <c r="E7" s="147" t="str">
        <f>VLOOKUP($F$3,'전체학급시간표(학생용)'!$A$4:$AI$33,17,0)</f>
        <v>이동수업M</v>
      </c>
      <c r="F7" s="147" t="str">
        <f>VLOOKUP($F$3,'전체학급시간표(학생용)'!$A$4:$AI$33,24,0)</f>
        <v>공강_x000D_
가상2</v>
      </c>
      <c r="G7" s="148" t="str">
        <f>VLOOKUP($F$3,'전체학급시간표(학생용)'!$A$4:$AI$33,31,0)</f>
        <v>스포_x000D_
지청호</v>
      </c>
    </row>
    <row r="8" spans="2:7" ht="42" customHeight="1" x14ac:dyDescent="0.4">
      <c r="B8" s="149">
        <v>4</v>
      </c>
      <c r="C8" s="146" t="str">
        <f>VLOOKUP($F$3,'전체학급시간표(학생용)'!$A$4:$AI$33,5,0)</f>
        <v>이동수업L</v>
      </c>
      <c r="D8" s="147" t="str">
        <f>VLOOKUP($F$3,'전체학급시간표(학생용)'!$A$4:$AI$33,11,0)</f>
        <v>이동수업L</v>
      </c>
      <c r="E8" s="147" t="str">
        <f>VLOOKUP($F$3,'전체학급시간표(학생용)'!$A$4:$AI$33,18,0)</f>
        <v>이동수업N</v>
      </c>
      <c r="F8" s="147" t="str">
        <f>VLOOKUP($F$3,'전체학급시간표(학생용)'!$A$4:$AI$33,25,0)</f>
        <v>스포_x000D_
박은총</v>
      </c>
      <c r="G8" s="148" t="str">
        <f>VLOOKUP($F$3,'전체학급시간표(학생용)'!$A$4:$AI$33,32,0)</f>
        <v>이동수업P</v>
      </c>
    </row>
    <row r="9" spans="2:7" ht="42" customHeight="1" x14ac:dyDescent="0.4">
      <c r="B9" s="149">
        <v>5</v>
      </c>
      <c r="C9" s="146" t="str">
        <f>VLOOKUP($F$3,'전체학급시간표(학생용)'!$A$4:$AI$33,6,0)</f>
        <v>진로_x000D_
장지현</v>
      </c>
      <c r="D9" s="147" t="str">
        <f>VLOOKUP($F$3,'전체학급시간표(학생용)'!$A$4:$AI$33,12,0)</f>
        <v>국사_x000D_
송영림</v>
      </c>
      <c r="E9" s="147" t="str">
        <f>VLOOKUP($F$3,'전체학급시간표(학생용)'!$A$4:$AI$33,19,0)</f>
        <v>당겨오기
수업</v>
      </c>
      <c r="F9" s="147" t="str">
        <f>VLOOKUP($F$3,'전체학급시간표(학생용)'!$A$4:$AI$33,26,0)</f>
        <v>이동수업M</v>
      </c>
      <c r="G9" s="148" t="str">
        <f>VLOOKUP($F$3,'전체학급시간표(학생용)'!$A$4:$AI$33,33,0)</f>
        <v>이동수업M</v>
      </c>
    </row>
    <row r="10" spans="2:7" ht="42" customHeight="1" x14ac:dyDescent="0.4">
      <c r="B10" s="149">
        <v>6</v>
      </c>
      <c r="C10" s="146" t="str">
        <f>VLOOKUP($F$3,'전체학급시간표(학생용)'!$A$4:$AI$33,7,0)</f>
        <v>이동수업O</v>
      </c>
      <c r="D10" s="147" t="str">
        <f>VLOOKUP($F$3,'전체학급시간표(학생용)'!$A$4:$AI$33,13,0)</f>
        <v>이동수업M</v>
      </c>
      <c r="E10" s="147" t="str">
        <f>VLOOKUP($F$3,'전체학급시간표(학생용)'!$A$4:$AI$33,20,0)</f>
        <v>창체</v>
      </c>
      <c r="F10" s="147" t="str">
        <f>VLOOKUP($F$3,'전체학급시간표(학생용)'!$A$4:$AI$33,27,0)</f>
        <v>이동수업N</v>
      </c>
      <c r="G10" s="148" t="str">
        <f>VLOOKUP($F$3,'전체학급시간표(학생용)'!$A$4:$AI$33,34,0)</f>
        <v>이동수업N</v>
      </c>
    </row>
    <row r="11" spans="2:7" ht="42" customHeight="1" thickBot="1" x14ac:dyDescent="0.45">
      <c r="B11" s="150">
        <v>7</v>
      </c>
      <c r="C11" s="151"/>
      <c r="D11" s="152" t="str">
        <f>VLOOKUP($F$3,'전체학급시간표(학생용)'!$A$4:$AI$33,14,0)</f>
        <v>당겨오기
수업</v>
      </c>
      <c r="E11" s="152" t="str">
        <f>VLOOKUP($F$3,'전체학급시간표(학생용)'!$A$4:$AI$33,21,0)</f>
        <v>창체</v>
      </c>
      <c r="F11" s="152" t="str">
        <f>VLOOKUP($F$3,'전체학급시간표(학생용)'!$A$4:$AI$33,28,0)</f>
        <v>당겨오기
수업</v>
      </c>
      <c r="G11" s="153" t="str">
        <f>VLOOKUP($F$3,'전체학급시간표(학생용)'!$A$4:$AI$33,35,0)</f>
        <v>미감비_x000D_
이경진</v>
      </c>
    </row>
  </sheetData>
  <mergeCells count="2">
    <mergeCell ref="B2:G2"/>
    <mergeCell ref="F3:G3"/>
  </mergeCells>
  <phoneticPr fontId="3" type="noConversion"/>
  <pageMargins left="0.25" right="0.25" top="0.75" bottom="0.75" header="0.3" footer="0.3"/>
  <pageSetup paperSize="9" scale="95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95E469D-ED7B-4827-BF58-724787FED8E8}">
          <x14:formula1>
            <xm:f>'전체학급시간표(학생용)'!$A$4:$A$33</xm:f>
          </x14:formula1>
          <xm:sqref>F3:G3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2</vt:i4>
      </vt:variant>
    </vt:vector>
  </HeadingPairs>
  <TitlesOfParts>
    <vt:vector size="7" baseType="lpstr">
      <vt:lpstr>전체교사시간표</vt:lpstr>
      <vt:lpstr>개인별 교사시간표</vt:lpstr>
      <vt:lpstr>전체학급시간표(교사용)</vt:lpstr>
      <vt:lpstr>전체학급시간표(학생용)</vt:lpstr>
      <vt:lpstr>학급별 시간표</vt:lpstr>
      <vt:lpstr>'개인별 교사시간표'!Print_Area</vt:lpstr>
      <vt:lpstr>'학급별 시간표'!Print_Area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2026-08-12T05:44:55Z</cp:lastPrinted>
  <dcterms:created xsi:type="dcterms:W3CDTF">2026-08-12T01:13:17Z</dcterms:created>
  <dcterms:modified xsi:type="dcterms:W3CDTF">2026-08-13T00:27:08Z</dcterms:modified>
</cp:coreProperties>
</file>